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01 FIVE\PROJECTS\uninterruptible-power-supply\"/>
    </mc:Choice>
  </mc:AlternateContent>
  <xr:revisionPtr revIDLastSave="0" documentId="13_ncr:1_{48001F2B-0382-494E-916D-B6A7D6788444}" xr6:coauthVersionLast="47" xr6:coauthVersionMax="47" xr10:uidLastSave="{00000000-0000-0000-0000-000000000000}"/>
  <bookViews>
    <workbookView xWindow="-108" yWindow="-108" windowWidth="23256" windowHeight="12576" activeTab="1" xr2:uid="{5F64C27A-1FDD-41D1-8BF6-AC244198F7E2}"/>
  </bookViews>
  <sheets>
    <sheet name="Electrical Equipment" sheetId="1" r:id="rId1"/>
    <sheet name="Electrical Calcula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1" i="2" l="1"/>
  <c r="X14" i="2" s="1"/>
  <c r="X20" i="2"/>
  <c r="X15" i="2"/>
  <c r="P3" i="2"/>
  <c r="R3" i="2"/>
  <c r="S3" i="2" s="1"/>
  <c r="U3" i="2" s="1"/>
  <c r="P28" i="2"/>
  <c r="P23" i="2"/>
  <c r="R23" i="2" s="1"/>
  <c r="T23" i="2" s="1"/>
  <c r="P18" i="2"/>
  <c r="R18" i="2" s="1"/>
  <c r="P13" i="2"/>
  <c r="R13" i="2" s="1"/>
  <c r="S13" i="2" s="1"/>
  <c r="P8" i="2"/>
  <c r="R8" i="2" s="1"/>
  <c r="I31" i="2"/>
  <c r="I32" i="2" s="1"/>
  <c r="H31" i="2"/>
  <c r="H32" i="2" s="1"/>
  <c r="G31" i="2"/>
  <c r="G32" i="2" s="1"/>
  <c r="F31" i="2"/>
  <c r="F32" i="2" s="1"/>
  <c r="E31" i="2"/>
  <c r="E32" i="2" s="1"/>
  <c r="D31" i="2"/>
  <c r="D32" i="2" s="1"/>
  <c r="C31" i="2"/>
  <c r="C32" i="2" s="1"/>
  <c r="G26" i="2"/>
  <c r="G27" i="2" s="1"/>
  <c r="F26" i="2"/>
  <c r="F27" i="2" s="1"/>
  <c r="E26" i="2"/>
  <c r="E27" i="2" s="1"/>
  <c r="D26" i="2"/>
  <c r="D27" i="2" s="1"/>
  <c r="C26" i="2"/>
  <c r="C27" i="2" s="1"/>
  <c r="L21" i="2"/>
  <c r="L22" i="2" s="1"/>
  <c r="K21" i="2"/>
  <c r="K22" i="2" s="1"/>
  <c r="J21" i="2"/>
  <c r="J22" i="2" s="1"/>
  <c r="I21" i="2"/>
  <c r="I22" i="2" s="1"/>
  <c r="H21" i="2"/>
  <c r="H22" i="2" s="1"/>
  <c r="G21" i="2"/>
  <c r="G22" i="2" s="1"/>
  <c r="F21" i="2"/>
  <c r="F22" i="2" s="1"/>
  <c r="E21" i="2"/>
  <c r="E22" i="2" s="1"/>
  <c r="D21" i="2"/>
  <c r="D22" i="2" s="1"/>
  <c r="C21" i="2"/>
  <c r="C22" i="2" s="1"/>
  <c r="J16" i="2"/>
  <c r="J17" i="2" s="1"/>
  <c r="I16" i="2"/>
  <c r="I17" i="2" s="1"/>
  <c r="H16" i="2"/>
  <c r="H17" i="2" s="1"/>
  <c r="G16" i="2"/>
  <c r="G17" i="2" s="1"/>
  <c r="F16" i="2"/>
  <c r="F17" i="2" s="1"/>
  <c r="E16" i="2"/>
  <c r="E17" i="2" s="1"/>
  <c r="D16" i="2"/>
  <c r="D17" i="2" s="1"/>
  <c r="C16" i="2"/>
  <c r="C17" i="2" s="1"/>
  <c r="K11" i="2"/>
  <c r="K12" i="2" s="1"/>
  <c r="J11" i="2"/>
  <c r="J12" i="2" s="1"/>
  <c r="I11" i="2"/>
  <c r="I12" i="2" s="1"/>
  <c r="H11" i="2"/>
  <c r="H12" i="2" s="1"/>
  <c r="G11" i="2"/>
  <c r="G12" i="2" s="1"/>
  <c r="F11" i="2"/>
  <c r="F12" i="2" s="1"/>
  <c r="E11" i="2"/>
  <c r="E12" i="2" s="1"/>
  <c r="D11" i="2"/>
  <c r="D12" i="2" s="1"/>
  <c r="C11" i="2"/>
  <c r="C12" i="2" s="1"/>
  <c r="J6" i="2"/>
  <c r="J7" i="2" s="1"/>
  <c r="I6" i="2"/>
  <c r="I7" i="2" s="1"/>
  <c r="H6" i="2"/>
  <c r="H7" i="2" s="1"/>
  <c r="G6" i="2"/>
  <c r="G7" i="2" s="1"/>
  <c r="F6" i="2"/>
  <c r="F7" i="2" s="1"/>
  <c r="E6" i="2"/>
  <c r="E7" i="2" s="1"/>
  <c r="D6" i="2"/>
  <c r="D7" i="2" s="1"/>
  <c r="C6" i="2"/>
  <c r="M8" i="2"/>
  <c r="O8" i="2" s="1"/>
  <c r="Q8" i="2" s="1"/>
  <c r="M18" i="2"/>
  <c r="O18" i="2" s="1"/>
  <c r="M28" i="2"/>
  <c r="O28" i="2" s="1"/>
  <c r="M23" i="2"/>
  <c r="O23" i="2" s="1"/>
  <c r="M13" i="2"/>
  <c r="O13" i="2" s="1"/>
  <c r="M3" i="2"/>
  <c r="O3" i="2" s="1"/>
  <c r="Q3" i="2" s="1"/>
  <c r="V3" i="2" l="1"/>
  <c r="C7" i="2"/>
  <c r="Q28" i="2"/>
  <c r="Q23" i="2"/>
  <c r="T3" i="2"/>
  <c r="X19" i="2"/>
  <c r="Q18" i="2"/>
  <c r="S23" i="2"/>
  <c r="U23" i="2" s="1"/>
  <c r="V13" i="2"/>
  <c r="V18" i="2"/>
  <c r="S8" i="2"/>
  <c r="U8" i="2" s="1"/>
  <c r="T8" i="2"/>
  <c r="Q13" i="2"/>
  <c r="V8" i="2"/>
  <c r="V28" i="2"/>
  <c r="R28" i="2"/>
  <c r="U13" i="2"/>
  <c r="V23" i="2"/>
  <c r="T13" i="2"/>
  <c r="T18" i="2"/>
  <c r="S18" i="2"/>
  <c r="U18" i="2" s="1"/>
  <c r="S28" i="2" l="1"/>
  <c r="U28" i="2" s="1"/>
  <c r="T28" i="2"/>
  <c r="X1" i="2" l="1"/>
  <c r="X3" i="2" s="1"/>
  <c r="X5" i="2" l="1"/>
  <c r="X6" i="2" s="1"/>
  <c r="X4" i="2"/>
  <c r="X2" i="2" s="1"/>
  <c r="X9" i="2" l="1"/>
  <c r="X10" i="2" s="1"/>
  <c r="X25" i="2"/>
  <c r="X22" i="2"/>
  <c r="X23" i="2" s="1"/>
  <c r="X7" i="2"/>
  <c r="X8" i="2"/>
</calcChain>
</file>

<file path=xl/sharedStrings.xml><?xml version="1.0" encoding="utf-8"?>
<sst xmlns="http://schemas.openxmlformats.org/spreadsheetml/2006/main" count="82" uniqueCount="50">
  <si>
    <t>P, kW</t>
  </si>
  <si>
    <t>cosφ</t>
  </si>
  <si>
    <t>tgφ ∑</t>
  </si>
  <si>
    <t>S, kVA</t>
  </si>
  <si>
    <t>Q, kVAr</t>
  </si>
  <si>
    <t>cosφ XN</t>
  </si>
  <si>
    <t>sinφ XN</t>
  </si>
  <si>
    <t>AE630-SW</t>
  </si>
  <si>
    <t>MITSUBISHI</t>
  </si>
  <si>
    <t>NF250-SV</t>
  </si>
  <si>
    <t>Cabinet ID</t>
  </si>
  <si>
    <t>Cabinet name</t>
  </si>
  <si>
    <t>Device name</t>
  </si>
  <si>
    <t>Manufacture</t>
  </si>
  <si>
    <t>Type</t>
  </si>
  <si>
    <t>Code</t>
  </si>
  <si>
    <t>ACB 01</t>
  </si>
  <si>
    <t>ACB 02</t>
  </si>
  <si>
    <t>ACB 03</t>
  </si>
  <si>
    <t>NCT06</t>
  </si>
  <si>
    <t>NF-S TYPE</t>
  </si>
  <si>
    <t>Thông số</t>
  </si>
  <si>
    <t>Máy số</t>
  </si>
  <si>
    <t>TPP 01</t>
  </si>
  <si>
    <t>TPP 02</t>
  </si>
  <si>
    <t>MC 03</t>
  </si>
  <si>
    <t>MDB 01</t>
  </si>
  <si>
    <t>MDB 02</t>
  </si>
  <si>
    <t>MDB 03</t>
  </si>
  <si>
    <t>MDB 04</t>
  </si>
  <si>
    <t>MDB 05</t>
  </si>
  <si>
    <t>MDB 06</t>
  </si>
  <si>
    <t>Tủ Phân phối 01</t>
  </si>
  <si>
    <t>Tủ Phân phối 02</t>
  </si>
  <si>
    <t>Máy cắt 03</t>
  </si>
  <si>
    <t>Tủ Phân xưởng 01</t>
  </si>
  <si>
    <t>Tủ Phân xưởng 02</t>
  </si>
  <si>
    <t>Tủ Phân xưởng 03</t>
  </si>
  <si>
    <t>Tủ Phân xưởng 04</t>
  </si>
  <si>
    <t>Tủ Phân xưởng 05</t>
  </si>
  <si>
    <t>Tủ Phân xưởng 06</t>
  </si>
  <si>
    <t>MCCB 01</t>
  </si>
  <si>
    <t>MCCB 02</t>
  </si>
  <si>
    <t>MCCB 03</t>
  </si>
  <si>
    <t>MCCB 04</t>
  </si>
  <si>
    <t>MCCB 05</t>
  </si>
  <si>
    <t>MCCB 06</t>
  </si>
  <si>
    <r>
      <rPr>
        <sz val="11"/>
        <color theme="1"/>
        <rFont val="Calibri"/>
        <family val="2"/>
        <scheme val="minor"/>
      </rPr>
      <t xml:space="preserve">cosφ </t>
    </r>
    <r>
      <rPr>
        <sz val="11"/>
        <color theme="1"/>
        <rFont val="Calibri"/>
        <family val="2"/>
      </rPr>
      <t>∑</t>
    </r>
  </si>
  <si>
    <t>MBA, kVA</t>
  </si>
  <si>
    <t>Phân xưởng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</si>
</sst>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0" quotePrefix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/>
    <xf numFmtId="0" fontId="3" fillId="0" borderId="5" xfId="0" applyFont="1" applyFill="1" applyBorder="1"/>
    <xf numFmtId="0" fontId="3" fillId="0" borderId="0" xfId="0" applyFont="1" applyFill="1"/>
    <xf numFmtId="0" fontId="0" fillId="0" borderId="1" xfId="0" applyFont="1" applyBorder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 vertical="center"/>
    </xf>
    <xf numFmtId="164" fontId="0" fillId="0" borderId="1" xfId="0" quotePrefix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4" fontId="3" fillId="0" borderId="4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190500</xdr:colOff>
      <xdr:row>0</xdr:row>
      <xdr:rowOff>0</xdr:rowOff>
    </xdr:from>
    <xdr:ext cx="2931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352C195-6144-4C44-9FD3-7F766EC4F0AB}"/>
                </a:ext>
              </a:extLst>
            </xdr:cNvPr>
            <xdr:cNvSpPr txBox="1"/>
          </xdr:nvSpPr>
          <xdr:spPr>
            <a:xfrm>
              <a:off x="2682240" y="0"/>
              <a:ext cx="2931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𝑡𝑡</m:t>
                      </m:r>
                    </m:sub>
                  </m:sSub>
                </m:oMath>
              </a14:m>
              <a:r>
                <a:rPr lang="en-US" sz="1100"/>
                <a:t>, A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352C195-6144-4C44-9FD3-7F766EC4F0AB}"/>
                </a:ext>
              </a:extLst>
            </xdr:cNvPr>
            <xdr:cNvSpPr txBox="1"/>
          </xdr:nvSpPr>
          <xdr:spPr>
            <a:xfrm>
              <a:off x="2682240" y="0"/>
              <a:ext cx="2931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𝐼_𝑡𝑡</a:t>
              </a:r>
              <a:r>
                <a:rPr lang="en-US" sz="1100"/>
                <a:t>, A</a:t>
              </a:r>
            </a:p>
          </xdr:txBody>
        </xdr:sp>
      </mc:Fallback>
    </mc:AlternateContent>
    <xdr:clientData/>
  </xdr:oneCellAnchor>
  <xdr:oneCellAnchor>
    <xdr:from>
      <xdr:col>4</xdr:col>
      <xdr:colOff>167640</xdr:colOff>
      <xdr:row>0</xdr:row>
      <xdr:rowOff>0</xdr:rowOff>
    </xdr:from>
    <xdr:ext cx="353558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214C863-9EAA-4002-B81C-265350FD0BED}"/>
                </a:ext>
              </a:extLst>
            </xdr:cNvPr>
            <xdr:cNvSpPr txBox="1"/>
          </xdr:nvSpPr>
          <xdr:spPr>
            <a:xfrm>
              <a:off x="3413760" y="0"/>
              <a:ext cx="353558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,</m:t>
                      </m:r>
                    </m:sub>
                  </m:sSub>
                </m:oMath>
              </a14:m>
              <a:r>
                <a:rPr lang="en-US" sz="1100"/>
                <a:t>, kA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214C863-9EAA-4002-B81C-265350FD0BED}"/>
                </a:ext>
              </a:extLst>
            </xdr:cNvPr>
            <xdr:cNvSpPr txBox="1"/>
          </xdr:nvSpPr>
          <xdr:spPr>
            <a:xfrm>
              <a:off x="3413760" y="0"/>
              <a:ext cx="353558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𝐼_(𝑛,)</a:t>
              </a:r>
              <a:r>
                <a:rPr lang="en-US" sz="1100"/>
                <a:t>, kA</a:t>
              </a:r>
            </a:p>
          </xdr:txBody>
        </xdr:sp>
      </mc:Fallback>
    </mc:AlternateContent>
    <xdr:clientData/>
  </xdr:oneCellAnchor>
  <xdr:oneCellAnchor>
    <xdr:from>
      <xdr:col>5</xdr:col>
      <xdr:colOff>83820</xdr:colOff>
      <xdr:row>0</xdr:row>
      <xdr:rowOff>0</xdr:rowOff>
    </xdr:from>
    <xdr:ext cx="61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4AF1E85-0DDE-49EC-95A8-1BA8100A2512}"/>
                </a:ext>
              </a:extLst>
            </xdr:cNvPr>
            <xdr:cNvSpPr txBox="1"/>
          </xdr:nvSpPr>
          <xdr:spPr>
            <a:xfrm>
              <a:off x="3939540" y="0"/>
              <a:ext cx="61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𝑈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𝑑𝑚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𝐶𝐵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𝑉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4AF1E85-0DDE-49EC-95A8-1BA8100A2512}"/>
                </a:ext>
              </a:extLst>
            </xdr:cNvPr>
            <xdr:cNvSpPr txBox="1"/>
          </xdr:nvSpPr>
          <xdr:spPr>
            <a:xfrm>
              <a:off x="3939540" y="0"/>
              <a:ext cx="61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𝑈_𝑑𝑚 𝐶𝐵, 𝑉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83820</xdr:colOff>
      <xdr:row>0</xdr:row>
      <xdr:rowOff>7620</xdr:rowOff>
    </xdr:from>
    <xdr:ext cx="57041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B6CD5F8-708B-4B97-9A16-8B501F7A0FF8}"/>
                </a:ext>
              </a:extLst>
            </xdr:cNvPr>
            <xdr:cNvSpPr txBox="1"/>
          </xdr:nvSpPr>
          <xdr:spPr>
            <a:xfrm>
              <a:off x="4632960" y="7620"/>
              <a:ext cx="57041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𝑑𝑚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𝐶𝐵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𝐴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B6CD5F8-708B-4B97-9A16-8B501F7A0FF8}"/>
                </a:ext>
              </a:extLst>
            </xdr:cNvPr>
            <xdr:cNvSpPr txBox="1"/>
          </xdr:nvSpPr>
          <xdr:spPr>
            <a:xfrm>
              <a:off x="4632960" y="7620"/>
              <a:ext cx="57041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𝐼_𝑑𝑚 𝐶𝐵, 𝐴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121920</xdr:colOff>
      <xdr:row>0</xdr:row>
      <xdr:rowOff>0</xdr:rowOff>
    </xdr:from>
    <xdr:ext cx="60503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AA15FF4-99FC-490A-9690-53DB377C63C4}"/>
                </a:ext>
              </a:extLst>
            </xdr:cNvPr>
            <xdr:cNvSpPr txBox="1"/>
          </xdr:nvSpPr>
          <xdr:spPr>
            <a:xfrm>
              <a:off x="5349240" y="0"/>
              <a:ext cx="605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𝑐𝑢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𝐶𝐵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𝑘𝐴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AA15FF4-99FC-490A-9690-53DB377C63C4}"/>
                </a:ext>
              </a:extLst>
            </xdr:cNvPr>
            <xdr:cNvSpPr txBox="1"/>
          </xdr:nvSpPr>
          <xdr:spPr>
            <a:xfrm>
              <a:off x="5349240" y="0"/>
              <a:ext cx="605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𝐼_𝑐𝑢 𝐶𝐵, 𝑘𝐴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</xdr:colOff>
      <xdr:row>3</xdr:row>
      <xdr:rowOff>3810</xdr:rowOff>
    </xdr:from>
    <xdr:ext cx="2437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46C9837-9D9C-79A9-5EB6-FBBCA7021F32}"/>
                </a:ext>
              </a:extLst>
            </xdr:cNvPr>
            <xdr:cNvSpPr txBox="1"/>
          </xdr:nvSpPr>
          <xdr:spPr>
            <a:xfrm>
              <a:off x="1234440" y="552450"/>
              <a:ext cx="2437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𝑠𝑑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46C9837-9D9C-79A9-5EB6-FBBCA7021F32}"/>
                </a:ext>
              </a:extLst>
            </xdr:cNvPr>
            <xdr:cNvSpPr txBox="1"/>
          </xdr:nvSpPr>
          <xdr:spPr>
            <a:xfrm>
              <a:off x="1234440" y="552450"/>
              <a:ext cx="2437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𝐾_𝑠𝑑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</xdr:row>
      <xdr:rowOff>32657</xdr:rowOff>
    </xdr:from>
    <xdr:ext cx="2437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4542CB-1C99-4979-89FE-C8412DA0E16F}"/>
                </a:ext>
              </a:extLst>
            </xdr:cNvPr>
            <xdr:cNvSpPr txBox="1"/>
          </xdr:nvSpPr>
          <xdr:spPr>
            <a:xfrm>
              <a:off x="892629" y="1861457"/>
              <a:ext cx="2437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𝑠𝑑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4542CB-1C99-4979-89FE-C8412DA0E16F}"/>
                </a:ext>
              </a:extLst>
            </xdr:cNvPr>
            <xdr:cNvSpPr txBox="1"/>
          </xdr:nvSpPr>
          <xdr:spPr>
            <a:xfrm>
              <a:off x="892629" y="1861457"/>
              <a:ext cx="2437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𝐾_𝑠𝑑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13</xdr:row>
      <xdr:rowOff>0</xdr:rowOff>
    </xdr:from>
    <xdr:ext cx="2437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218D376-22F1-448C-B45F-FEEFCA5EAA11}"/>
                </a:ext>
              </a:extLst>
            </xdr:cNvPr>
            <xdr:cNvSpPr txBox="1"/>
          </xdr:nvSpPr>
          <xdr:spPr>
            <a:xfrm>
              <a:off x="1219200" y="1097280"/>
              <a:ext cx="2437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𝑠𝑑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218D376-22F1-448C-B45F-FEEFCA5EAA11}"/>
                </a:ext>
              </a:extLst>
            </xdr:cNvPr>
            <xdr:cNvSpPr txBox="1"/>
          </xdr:nvSpPr>
          <xdr:spPr>
            <a:xfrm>
              <a:off x="1219200" y="1097280"/>
              <a:ext cx="2437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𝐾_𝑠𝑑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18</xdr:row>
      <xdr:rowOff>0</xdr:rowOff>
    </xdr:from>
    <xdr:ext cx="2437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B2CE48C-9EAB-4AAE-9C6F-FF18B197173E}"/>
                </a:ext>
              </a:extLst>
            </xdr:cNvPr>
            <xdr:cNvSpPr txBox="1"/>
          </xdr:nvSpPr>
          <xdr:spPr>
            <a:xfrm>
              <a:off x="1219200" y="1645920"/>
              <a:ext cx="2437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𝑠𝑑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B2CE48C-9EAB-4AAE-9C6F-FF18B197173E}"/>
                </a:ext>
              </a:extLst>
            </xdr:cNvPr>
            <xdr:cNvSpPr txBox="1"/>
          </xdr:nvSpPr>
          <xdr:spPr>
            <a:xfrm>
              <a:off x="1219200" y="1645920"/>
              <a:ext cx="2437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𝐾_𝑠𝑑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23</xdr:row>
      <xdr:rowOff>0</xdr:rowOff>
    </xdr:from>
    <xdr:ext cx="2437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2FFDE70-EEB8-4FE5-B2AE-0436D1472D00}"/>
                </a:ext>
              </a:extLst>
            </xdr:cNvPr>
            <xdr:cNvSpPr txBox="1"/>
          </xdr:nvSpPr>
          <xdr:spPr>
            <a:xfrm>
              <a:off x="1219200" y="2194560"/>
              <a:ext cx="2437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𝑠𝑑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2FFDE70-EEB8-4FE5-B2AE-0436D1472D00}"/>
                </a:ext>
              </a:extLst>
            </xdr:cNvPr>
            <xdr:cNvSpPr txBox="1"/>
          </xdr:nvSpPr>
          <xdr:spPr>
            <a:xfrm>
              <a:off x="1219200" y="2194560"/>
              <a:ext cx="2437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𝐾_𝑠𝑑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28</xdr:row>
      <xdr:rowOff>43543</xdr:rowOff>
    </xdr:from>
    <xdr:ext cx="2437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2278772-19B9-4A2E-BC29-DFE3ED1B9495}"/>
                </a:ext>
              </a:extLst>
            </xdr:cNvPr>
            <xdr:cNvSpPr txBox="1"/>
          </xdr:nvSpPr>
          <xdr:spPr>
            <a:xfrm>
              <a:off x="892629" y="6444343"/>
              <a:ext cx="2437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𝑠𝑑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2278772-19B9-4A2E-BC29-DFE3ED1B9495}"/>
                </a:ext>
              </a:extLst>
            </xdr:cNvPr>
            <xdr:cNvSpPr txBox="1"/>
          </xdr:nvSpPr>
          <xdr:spPr>
            <a:xfrm>
              <a:off x="892629" y="6444343"/>
              <a:ext cx="2437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𝐾_𝑠𝑑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137199</xdr:colOff>
      <xdr:row>0</xdr:row>
      <xdr:rowOff>154154</xdr:rowOff>
    </xdr:from>
    <xdr:ext cx="34374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8C8E64B-D363-0A6B-1DAE-48936D672B06}"/>
                </a:ext>
              </a:extLst>
            </xdr:cNvPr>
            <xdr:cNvSpPr txBox="1"/>
          </xdr:nvSpPr>
          <xdr:spPr>
            <a:xfrm>
              <a:off x="5444305" y="154154"/>
              <a:ext cx="3437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𝑠𝑑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∑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8C8E64B-D363-0A6B-1DAE-48936D672B06}"/>
                </a:ext>
              </a:extLst>
            </xdr:cNvPr>
            <xdr:cNvSpPr txBox="1"/>
          </xdr:nvSpPr>
          <xdr:spPr>
            <a:xfrm>
              <a:off x="5444305" y="154154"/>
              <a:ext cx="3437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𝐾_𝑠𝑑</a:t>
              </a:r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218661</xdr:colOff>
      <xdr:row>0</xdr:row>
      <xdr:rowOff>138564</xdr:rowOff>
    </xdr:from>
    <xdr:ext cx="247055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AA8AF10-5A29-4A37-B0E5-610189E2D4BD}"/>
                </a:ext>
              </a:extLst>
            </xdr:cNvPr>
            <xdr:cNvSpPr txBox="1"/>
          </xdr:nvSpPr>
          <xdr:spPr>
            <a:xfrm>
              <a:off x="6762896" y="138564"/>
              <a:ext cx="2470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AA8AF10-5A29-4A37-B0E5-610189E2D4BD}"/>
                </a:ext>
              </a:extLst>
            </xdr:cNvPr>
            <xdr:cNvSpPr txBox="1"/>
          </xdr:nvSpPr>
          <xdr:spPr>
            <a:xfrm>
              <a:off x="6762896" y="138564"/>
              <a:ext cx="2470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𝐾_𝑛𝑐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221000</xdr:colOff>
      <xdr:row>0</xdr:row>
      <xdr:rowOff>118296</xdr:rowOff>
    </xdr:from>
    <xdr:ext cx="247312" cy="1826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243DA93-EC6D-4905-878B-FB3892289BCA}"/>
                </a:ext>
              </a:extLst>
            </xdr:cNvPr>
            <xdr:cNvSpPr txBox="1"/>
          </xdr:nvSpPr>
          <xdr:spPr>
            <a:xfrm>
              <a:off x="6146671" y="118296"/>
              <a:ext cx="247312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h𝑞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243DA93-EC6D-4905-878B-FB3892289BCA}"/>
                </a:ext>
              </a:extLst>
            </xdr:cNvPr>
            <xdr:cNvSpPr txBox="1"/>
          </xdr:nvSpPr>
          <xdr:spPr>
            <a:xfrm>
              <a:off x="6146671" y="118296"/>
              <a:ext cx="247312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𝑛_ℎ𝑞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97054</xdr:colOff>
      <xdr:row>0</xdr:row>
      <xdr:rowOff>148503</xdr:rowOff>
    </xdr:from>
    <xdr:ext cx="41511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26A329C-AD8D-4FC6-895C-43F5ABD9A662}"/>
                </a:ext>
              </a:extLst>
            </xdr:cNvPr>
            <xdr:cNvSpPr txBox="1"/>
          </xdr:nvSpPr>
          <xdr:spPr>
            <a:xfrm>
              <a:off x="7878419" y="148503"/>
              <a:ext cx="4151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𝑃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𝑁</m:t>
                      </m:r>
                    </m:sub>
                  </m:sSub>
                </m:oMath>
              </a14:m>
              <a:r>
                <a:rPr lang="en-US" sz="1100"/>
                <a:t>, kW</a:t>
              </a:r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26A329C-AD8D-4FC6-895C-43F5ABD9A662}"/>
                </a:ext>
              </a:extLst>
            </xdr:cNvPr>
            <xdr:cNvSpPr txBox="1"/>
          </xdr:nvSpPr>
          <xdr:spPr>
            <a:xfrm>
              <a:off x="7878419" y="148503"/>
              <a:ext cx="4151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𝑃_𝑁</a:t>
              </a:r>
              <a:r>
                <a:rPr lang="en-US" sz="1100"/>
                <a:t>, kW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5</xdr:row>
      <xdr:rowOff>0</xdr:rowOff>
    </xdr:from>
    <xdr:ext cx="246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D1FCC27-6A8B-4F94-8920-1A8AB1179904}"/>
                </a:ext>
              </a:extLst>
            </xdr:cNvPr>
            <xdr:cNvSpPr txBox="1"/>
          </xdr:nvSpPr>
          <xdr:spPr>
            <a:xfrm>
              <a:off x="715617" y="927652"/>
              <a:ext cx="246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𝑑𝑚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D1FCC27-6A8B-4F94-8920-1A8AB1179904}"/>
                </a:ext>
              </a:extLst>
            </xdr:cNvPr>
            <xdr:cNvSpPr txBox="1"/>
          </xdr:nvSpPr>
          <xdr:spPr>
            <a:xfrm>
              <a:off x="715617" y="927652"/>
              <a:ext cx="246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𝐼_𝑑𝑚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10</xdr:row>
      <xdr:rowOff>0</xdr:rowOff>
    </xdr:from>
    <xdr:ext cx="246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BB14DC2-A14B-437B-BFDD-9A3587FF4911}"/>
                </a:ext>
              </a:extLst>
            </xdr:cNvPr>
            <xdr:cNvSpPr txBox="1"/>
          </xdr:nvSpPr>
          <xdr:spPr>
            <a:xfrm>
              <a:off x="715617" y="1669774"/>
              <a:ext cx="246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𝑑𝑚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BB14DC2-A14B-437B-BFDD-9A3587FF4911}"/>
                </a:ext>
              </a:extLst>
            </xdr:cNvPr>
            <xdr:cNvSpPr txBox="1"/>
          </xdr:nvSpPr>
          <xdr:spPr>
            <a:xfrm>
              <a:off x="715617" y="1669774"/>
              <a:ext cx="246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𝐼_𝑑𝑚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15</xdr:row>
      <xdr:rowOff>0</xdr:rowOff>
    </xdr:from>
    <xdr:ext cx="246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7828B04-6130-45A3-A317-20E6CDAEE5C3}"/>
                </a:ext>
              </a:extLst>
            </xdr:cNvPr>
            <xdr:cNvSpPr txBox="1"/>
          </xdr:nvSpPr>
          <xdr:spPr>
            <a:xfrm>
              <a:off x="715617" y="2411896"/>
              <a:ext cx="246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𝑑𝑚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7828B04-6130-45A3-A317-20E6CDAEE5C3}"/>
                </a:ext>
              </a:extLst>
            </xdr:cNvPr>
            <xdr:cNvSpPr txBox="1"/>
          </xdr:nvSpPr>
          <xdr:spPr>
            <a:xfrm>
              <a:off x="715617" y="2411896"/>
              <a:ext cx="246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𝐼_𝑑𝑚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20</xdr:row>
      <xdr:rowOff>0</xdr:rowOff>
    </xdr:from>
    <xdr:ext cx="246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E191DB5-CC2D-47A9-907A-F28A6D3343DB}"/>
                </a:ext>
              </a:extLst>
            </xdr:cNvPr>
            <xdr:cNvSpPr txBox="1"/>
          </xdr:nvSpPr>
          <xdr:spPr>
            <a:xfrm>
              <a:off x="715617" y="3154017"/>
              <a:ext cx="246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𝑑𝑚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E191DB5-CC2D-47A9-907A-F28A6D3343DB}"/>
                </a:ext>
              </a:extLst>
            </xdr:cNvPr>
            <xdr:cNvSpPr txBox="1"/>
          </xdr:nvSpPr>
          <xdr:spPr>
            <a:xfrm>
              <a:off x="715617" y="3154017"/>
              <a:ext cx="246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𝐼_𝑑𝑚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25</xdr:row>
      <xdr:rowOff>0</xdr:rowOff>
    </xdr:from>
    <xdr:ext cx="246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98EA42B-E1D8-4086-A72E-1C577FC0FCF7}"/>
                </a:ext>
              </a:extLst>
            </xdr:cNvPr>
            <xdr:cNvSpPr txBox="1"/>
          </xdr:nvSpPr>
          <xdr:spPr>
            <a:xfrm>
              <a:off x="715617" y="3896139"/>
              <a:ext cx="246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𝑑𝑚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98EA42B-E1D8-4086-A72E-1C577FC0FCF7}"/>
                </a:ext>
              </a:extLst>
            </xdr:cNvPr>
            <xdr:cNvSpPr txBox="1"/>
          </xdr:nvSpPr>
          <xdr:spPr>
            <a:xfrm>
              <a:off x="715617" y="3896139"/>
              <a:ext cx="246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𝐼_𝑑𝑚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30</xdr:row>
      <xdr:rowOff>0</xdr:rowOff>
    </xdr:from>
    <xdr:ext cx="246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865D72E-20CB-425D-BEE4-D2580E63FE4C}"/>
                </a:ext>
              </a:extLst>
            </xdr:cNvPr>
            <xdr:cNvSpPr txBox="1"/>
          </xdr:nvSpPr>
          <xdr:spPr>
            <a:xfrm>
              <a:off x="715617" y="4638261"/>
              <a:ext cx="246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𝑑𝑚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865D72E-20CB-425D-BEE4-D2580E63FE4C}"/>
                </a:ext>
              </a:extLst>
            </xdr:cNvPr>
            <xdr:cNvSpPr txBox="1"/>
          </xdr:nvSpPr>
          <xdr:spPr>
            <a:xfrm>
              <a:off x="715617" y="4638261"/>
              <a:ext cx="246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𝐼_𝑑𝑚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152790</xdr:colOff>
      <xdr:row>0</xdr:row>
      <xdr:rowOff>139927</xdr:rowOff>
    </xdr:from>
    <xdr:ext cx="34669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DAF1C66-557A-42EC-8A13-24E1F381B778}"/>
                </a:ext>
              </a:extLst>
            </xdr:cNvPr>
            <xdr:cNvSpPr txBox="1"/>
          </xdr:nvSpPr>
          <xdr:spPr>
            <a:xfrm>
              <a:off x="11026978" y="139927"/>
              <a:ext cx="346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𝑑𝑚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∑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DAF1C66-557A-42EC-8A13-24E1F381B778}"/>
                </a:ext>
              </a:extLst>
            </xdr:cNvPr>
            <xdr:cNvSpPr txBox="1"/>
          </xdr:nvSpPr>
          <xdr:spPr>
            <a:xfrm>
              <a:off x="11026978" y="139927"/>
              <a:ext cx="346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𝐼_𝑑𝑚</a:t>
              </a:r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115702</xdr:colOff>
      <xdr:row>0</xdr:row>
      <xdr:rowOff>153254</xdr:rowOff>
    </xdr:from>
    <xdr:ext cx="437749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9A4BDDE-F364-42E6-9B86-C0911F3AAEBA}"/>
            </a:ext>
          </a:extLst>
        </xdr:cNvPr>
        <xdr:cNvSpPr txBox="1"/>
      </xdr:nvSpPr>
      <xdr:spPr>
        <a:xfrm>
          <a:off x="7278502" y="153254"/>
          <a:ext cx="43774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r>
            <a:rPr lang="en-US" sz="1100"/>
            <a:t>P</a:t>
          </a:r>
          <a:r>
            <a:rPr lang="el-GR" sz="1100"/>
            <a:t> ∑</a:t>
          </a:r>
          <a:r>
            <a:rPr lang="en-US" sz="1100"/>
            <a:t>, kW</a:t>
          </a:r>
        </a:p>
      </xdr:txBody>
    </xdr:sp>
    <xdr:clientData/>
  </xdr:oneCellAnchor>
  <xdr:oneCellAnchor>
    <xdr:from>
      <xdr:col>22</xdr:col>
      <xdr:colOff>19879</xdr:colOff>
      <xdr:row>0</xdr:row>
      <xdr:rowOff>41031</xdr:rowOff>
    </xdr:from>
    <xdr:ext cx="517642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88804FB-B73B-4D5A-AE47-31E72121B7F2}"/>
            </a:ext>
          </a:extLst>
        </xdr:cNvPr>
        <xdr:cNvSpPr txBox="1"/>
      </xdr:nvSpPr>
      <xdr:spPr>
        <a:xfrm>
          <a:off x="12780448" y="41031"/>
          <a:ext cx="51764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r>
            <a:rPr lang="en-US" sz="1100" b="0"/>
            <a:t>S</a:t>
          </a:r>
          <a:r>
            <a:rPr lang="en-US" sz="1100" b="0" baseline="0"/>
            <a:t> XN, kW</a:t>
          </a:r>
          <a:endParaRPr lang="en-US" sz="1100" b="0"/>
        </a:p>
      </xdr:txBody>
    </xdr:sp>
    <xdr:clientData/>
  </xdr:oneCellAnchor>
  <xdr:oneCellAnchor>
    <xdr:from>
      <xdr:col>22</xdr:col>
      <xdr:colOff>10886</xdr:colOff>
      <xdr:row>1</xdr:row>
      <xdr:rowOff>32657</xdr:rowOff>
    </xdr:from>
    <xdr:ext cx="693331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D9304FF-4626-4786-8D5B-36D14EB1AC73}"/>
                </a:ext>
              </a:extLst>
            </xdr:cNvPr>
            <xdr:cNvSpPr txBox="1"/>
          </xdr:nvSpPr>
          <xdr:spPr>
            <a:xfrm>
              <a:off x="12771455" y="261257"/>
              <a:ext cx="6933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𝑋𝑁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𝑘𝑉𝐴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D9304FF-4626-4786-8D5B-36D14EB1AC73}"/>
                </a:ext>
              </a:extLst>
            </xdr:cNvPr>
            <xdr:cNvSpPr txBox="1"/>
          </xdr:nvSpPr>
          <xdr:spPr>
            <a:xfrm>
              <a:off x="12771455" y="261257"/>
              <a:ext cx="6933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𝑆_𝑁 𝑋𝑁, 𝑘𝑉𝐴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22</xdr:col>
      <xdr:colOff>10885</xdr:colOff>
      <xdr:row>2</xdr:row>
      <xdr:rowOff>21772</xdr:rowOff>
    </xdr:from>
    <xdr:ext cx="514500" cy="1847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3F1C691-D0C6-486E-9600-9691450F5F4B}"/>
                </a:ext>
              </a:extLst>
            </xdr:cNvPr>
            <xdr:cNvSpPr txBox="1"/>
          </xdr:nvSpPr>
          <xdr:spPr>
            <a:xfrm>
              <a:off x="12771454" y="478972"/>
              <a:ext cx="514500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𝑠𝑑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∑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𝑋𝑁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3F1C691-D0C6-486E-9600-9691450F5F4B}"/>
                </a:ext>
              </a:extLst>
            </xdr:cNvPr>
            <xdr:cNvSpPr txBox="1"/>
          </xdr:nvSpPr>
          <xdr:spPr>
            <a:xfrm>
              <a:off x="12771454" y="478972"/>
              <a:ext cx="514500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𝐾_(𝑠𝑑∑) 𝑋𝑁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21771</xdr:colOff>
      <xdr:row>3</xdr:row>
      <xdr:rowOff>33130</xdr:rowOff>
    </xdr:from>
    <xdr:ext cx="4448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45AEB854-A998-4A2F-A540-6F149D23D652}"/>
                </a:ext>
              </a:extLst>
            </xdr:cNvPr>
            <xdr:cNvSpPr txBox="1"/>
          </xdr:nvSpPr>
          <xdr:spPr>
            <a:xfrm>
              <a:off x="12812485" y="718930"/>
              <a:ext cx="4448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𝑛𝑐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𝑋𝑁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45AEB854-A998-4A2F-A540-6F149D23D652}"/>
                </a:ext>
              </a:extLst>
            </xdr:cNvPr>
            <xdr:cNvSpPr txBox="1"/>
          </xdr:nvSpPr>
          <xdr:spPr>
            <a:xfrm>
              <a:off x="12812485" y="718930"/>
              <a:ext cx="4448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𝐾_𝑛𝑐 𝑋𝑁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28470</xdr:colOff>
      <xdr:row>6</xdr:row>
      <xdr:rowOff>21771</xdr:rowOff>
    </xdr:from>
    <xdr:ext cx="302519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0607192-4EAF-4969-B94D-AF447C5DA63A}"/>
                </a:ext>
              </a:extLst>
            </xdr:cNvPr>
            <xdr:cNvSpPr txBox="1"/>
          </xdr:nvSpPr>
          <xdr:spPr>
            <a:xfrm>
              <a:off x="12789039" y="1393371"/>
              <a:ext cx="3025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/>
                <a:t>P</a:t>
              </a:r>
              <a:r>
                <a:rPr lang="en-US" sz="1100" b="0" baseline="0"/>
                <a:t> 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𝑋𝑁</m:t>
                  </m:r>
                </m:oMath>
              </a14:m>
              <a:endParaRPr lang="en-US" sz="1100" b="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0607192-4EAF-4969-B94D-AF447C5DA63A}"/>
                </a:ext>
              </a:extLst>
            </xdr:cNvPr>
            <xdr:cNvSpPr txBox="1"/>
          </xdr:nvSpPr>
          <xdr:spPr>
            <a:xfrm>
              <a:off x="12789039" y="1393371"/>
              <a:ext cx="3025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/>
                <a:t>P</a:t>
              </a:r>
              <a:r>
                <a:rPr lang="en-US" sz="1100" b="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𝑋𝑁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22</xdr:col>
      <xdr:colOff>17584</xdr:colOff>
      <xdr:row>7</xdr:row>
      <xdr:rowOff>13253</xdr:rowOff>
    </xdr:from>
    <xdr:ext cx="324512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F3C3D462-335E-42CC-83C9-4207F7189027}"/>
                </a:ext>
              </a:extLst>
            </xdr:cNvPr>
            <xdr:cNvSpPr txBox="1"/>
          </xdr:nvSpPr>
          <xdr:spPr>
            <a:xfrm>
              <a:off x="12778153" y="1613453"/>
              <a:ext cx="3245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/>
                <a:t>Q</a:t>
              </a:r>
              <a:r>
                <a:rPr lang="en-US" sz="1100" b="0" baseline="0"/>
                <a:t> 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𝑋𝑁</m:t>
                  </m:r>
                </m:oMath>
              </a14:m>
              <a:endParaRPr lang="en-US" sz="1100" b="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F3C3D462-335E-42CC-83C9-4207F7189027}"/>
                </a:ext>
              </a:extLst>
            </xdr:cNvPr>
            <xdr:cNvSpPr txBox="1"/>
          </xdr:nvSpPr>
          <xdr:spPr>
            <a:xfrm>
              <a:off x="12778153" y="1613453"/>
              <a:ext cx="3245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/>
                <a:t>Q</a:t>
              </a:r>
              <a:r>
                <a:rPr lang="en-US" sz="1100" b="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𝑋𝑁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0</xdr:col>
      <xdr:colOff>881744</xdr:colOff>
      <xdr:row>16</xdr:row>
      <xdr:rowOff>26504</xdr:rowOff>
    </xdr:from>
    <xdr:ext cx="4149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A416F7A-B740-4A5A-9821-5C0634250122}"/>
                </a:ext>
              </a:extLst>
            </xdr:cNvPr>
            <xdr:cNvSpPr txBox="1"/>
          </xdr:nvSpPr>
          <xdr:spPr>
            <a:xfrm>
              <a:off x="881744" y="3684104"/>
              <a:ext cx="4149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A416F7A-B740-4A5A-9821-5C0634250122}"/>
                </a:ext>
              </a:extLst>
            </xdr:cNvPr>
            <xdr:cNvSpPr txBox="1"/>
          </xdr:nvSpPr>
          <xdr:spPr>
            <a:xfrm>
              <a:off x="881744" y="3684104"/>
              <a:ext cx="4149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𝐹</a:t>
              </a:r>
              <a:r>
                <a:rPr lang="en-US" sz="1100" b="0" i="0">
                  <a:latin typeface="Cambria Math" panose="02040503050406030204" pitchFamily="18" charset="0"/>
                </a:rPr>
                <a:t>, 𝑚𝑚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11</xdr:row>
      <xdr:rowOff>0</xdr:rowOff>
    </xdr:from>
    <xdr:ext cx="4149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07B1419-0B82-4914-A403-89A32558EBE2}"/>
                </a:ext>
              </a:extLst>
            </xdr:cNvPr>
            <xdr:cNvSpPr txBox="1"/>
          </xdr:nvSpPr>
          <xdr:spPr>
            <a:xfrm>
              <a:off x="715617" y="2040835"/>
              <a:ext cx="4149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07B1419-0B82-4914-A403-89A32558EBE2}"/>
                </a:ext>
              </a:extLst>
            </xdr:cNvPr>
            <xdr:cNvSpPr txBox="1"/>
          </xdr:nvSpPr>
          <xdr:spPr>
            <a:xfrm>
              <a:off x="715617" y="2040835"/>
              <a:ext cx="4149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𝐹</a:t>
              </a:r>
              <a:r>
                <a:rPr lang="en-US" sz="1100" b="0" i="0">
                  <a:latin typeface="Cambria Math" panose="02040503050406030204" pitchFamily="18" charset="0"/>
                </a:rPr>
                <a:t>, 𝑚𝑚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21</xdr:row>
      <xdr:rowOff>6626</xdr:rowOff>
    </xdr:from>
    <xdr:ext cx="4149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8B2575-A868-4DA7-9604-C19878822889}"/>
                </a:ext>
              </a:extLst>
            </xdr:cNvPr>
            <xdr:cNvSpPr txBox="1"/>
          </xdr:nvSpPr>
          <xdr:spPr>
            <a:xfrm>
              <a:off x="715617" y="3902765"/>
              <a:ext cx="4149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8B2575-A868-4DA7-9604-C19878822889}"/>
                </a:ext>
              </a:extLst>
            </xdr:cNvPr>
            <xdr:cNvSpPr txBox="1"/>
          </xdr:nvSpPr>
          <xdr:spPr>
            <a:xfrm>
              <a:off x="715617" y="3902765"/>
              <a:ext cx="4149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𝐹</a:t>
              </a:r>
              <a:r>
                <a:rPr lang="en-US" sz="1100" b="0" i="0">
                  <a:latin typeface="Cambria Math" panose="02040503050406030204" pitchFamily="18" charset="0"/>
                </a:rPr>
                <a:t>, 𝑚𝑚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883163</xdr:colOff>
      <xdr:row>26</xdr:row>
      <xdr:rowOff>17512</xdr:rowOff>
    </xdr:from>
    <xdr:ext cx="4149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5CDB6FC-222B-47CF-B9D5-AB2E12ADE40A}"/>
                </a:ext>
              </a:extLst>
            </xdr:cNvPr>
            <xdr:cNvSpPr txBox="1"/>
          </xdr:nvSpPr>
          <xdr:spPr>
            <a:xfrm>
              <a:off x="883163" y="5961112"/>
              <a:ext cx="4149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5CDB6FC-222B-47CF-B9D5-AB2E12ADE40A}"/>
                </a:ext>
              </a:extLst>
            </xdr:cNvPr>
            <xdr:cNvSpPr txBox="1"/>
          </xdr:nvSpPr>
          <xdr:spPr>
            <a:xfrm>
              <a:off x="883163" y="5961112"/>
              <a:ext cx="4149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𝐹</a:t>
              </a:r>
              <a:r>
                <a:rPr lang="en-US" sz="1100" b="0" i="0">
                  <a:latin typeface="Cambria Math" panose="02040503050406030204" pitchFamily="18" charset="0"/>
                </a:rPr>
                <a:t>, 𝑚𝑚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8965</xdr:colOff>
      <xdr:row>31</xdr:row>
      <xdr:rowOff>31181</xdr:rowOff>
    </xdr:from>
    <xdr:ext cx="414922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849D02D3-F81B-4900-9A15-693A000289AA}"/>
                </a:ext>
              </a:extLst>
            </xdr:cNvPr>
            <xdr:cNvSpPr txBox="1"/>
          </xdr:nvSpPr>
          <xdr:spPr>
            <a:xfrm>
              <a:off x="896471" y="7256734"/>
              <a:ext cx="4149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849D02D3-F81B-4900-9A15-693A000289AA}"/>
                </a:ext>
              </a:extLst>
            </xdr:cNvPr>
            <xdr:cNvSpPr txBox="1"/>
          </xdr:nvSpPr>
          <xdr:spPr>
            <a:xfrm>
              <a:off x="896471" y="7256734"/>
              <a:ext cx="4149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𝐹</a:t>
              </a:r>
              <a:r>
                <a:rPr lang="en-US" sz="1100" b="0" i="0">
                  <a:latin typeface="Cambria Math" panose="02040503050406030204" pitchFamily="18" charset="0"/>
                </a:rPr>
                <a:t>, 𝑚𝑚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</xdr:colOff>
      <xdr:row>6</xdr:row>
      <xdr:rowOff>6625</xdr:rowOff>
    </xdr:from>
    <xdr:ext cx="4149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D453481D-4A2C-43CD-9B9B-9F180BCDFE0E}"/>
                </a:ext>
              </a:extLst>
            </xdr:cNvPr>
            <xdr:cNvSpPr txBox="1"/>
          </xdr:nvSpPr>
          <xdr:spPr>
            <a:xfrm>
              <a:off x="715618" y="1119808"/>
              <a:ext cx="4149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D453481D-4A2C-43CD-9B9B-9F180BCDFE0E}"/>
                </a:ext>
              </a:extLst>
            </xdr:cNvPr>
            <xdr:cNvSpPr txBox="1"/>
          </xdr:nvSpPr>
          <xdr:spPr>
            <a:xfrm>
              <a:off x="715618" y="1119808"/>
              <a:ext cx="4149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𝐹</a:t>
              </a:r>
              <a:r>
                <a:rPr lang="en-US" sz="1100" b="0" i="0">
                  <a:latin typeface="Cambria Math" panose="02040503050406030204" pitchFamily="18" charset="0"/>
                </a:rPr>
                <a:t>, 𝑚𝑚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45220</xdr:colOff>
      <xdr:row>8</xdr:row>
      <xdr:rowOff>26507</xdr:rowOff>
    </xdr:from>
    <xdr:ext cx="24397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05712C40-ED4C-48FF-B826-92326D510A33}"/>
                </a:ext>
              </a:extLst>
            </xdr:cNvPr>
            <xdr:cNvSpPr txBox="1"/>
          </xdr:nvSpPr>
          <xdr:spPr>
            <a:xfrm>
              <a:off x="12805789" y="1855307"/>
              <a:ext cx="24397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/>
                <a:t>I</a:t>
              </a:r>
              <a:r>
                <a:rPr lang="en-US" sz="1100" b="0" baseline="0"/>
                <a:t> 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XN</m:t>
                  </m:r>
                </m:oMath>
              </a14:m>
              <a:endParaRPr lang="en-US" sz="1100"/>
            </a:p>
          </xdr:txBody>
        </xdr:sp>
      </mc:Choice>
      <mc:Fallback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05712C40-ED4C-48FF-B826-92326D510A33}"/>
                </a:ext>
              </a:extLst>
            </xdr:cNvPr>
            <xdr:cNvSpPr txBox="1"/>
          </xdr:nvSpPr>
          <xdr:spPr>
            <a:xfrm>
              <a:off x="12805789" y="1855307"/>
              <a:ext cx="24397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/>
                <a:t>I</a:t>
              </a:r>
              <a:r>
                <a:rPr lang="en-US" sz="1100" b="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XN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13252</xdr:colOff>
      <xdr:row>9</xdr:row>
      <xdr:rowOff>28401</xdr:rowOff>
    </xdr:from>
    <xdr:ext cx="51289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5CF44F30-CB0C-4E06-BBE0-2C63B4860385}"/>
                </a:ext>
              </a:extLst>
            </xdr:cNvPr>
            <xdr:cNvSpPr txBox="1"/>
          </xdr:nvSpPr>
          <xdr:spPr>
            <a:xfrm>
              <a:off x="12803966" y="2085801"/>
              <a:ext cx="5128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𝑥𝑛</m:t>
                        </m:r>
                      </m:sub>
                    </m:sSub>
                    <m:r>
                      <a:rPr lang="en-US" sz="1100" b="0" i="0">
                        <a:latin typeface="Cambria Math" panose="02040503050406030204" pitchFamily="18" charset="0"/>
                      </a:rPr>
                      <m:t>,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mm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5CF44F30-CB0C-4E06-BBE0-2C63B4860385}"/>
                </a:ext>
              </a:extLst>
            </xdr:cNvPr>
            <xdr:cNvSpPr txBox="1"/>
          </xdr:nvSpPr>
          <xdr:spPr>
            <a:xfrm>
              <a:off x="12803966" y="2085801"/>
              <a:ext cx="5128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𝐹_𝑥𝑛,mm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7620</xdr:colOff>
      <xdr:row>14</xdr:row>
      <xdr:rowOff>15240</xdr:rowOff>
    </xdr:from>
    <xdr:ext cx="57349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49476DF-24AB-4179-B80B-4E2A55C7F8C5}"/>
                </a:ext>
              </a:extLst>
            </xdr:cNvPr>
            <xdr:cNvSpPr txBox="1"/>
          </xdr:nvSpPr>
          <xdr:spPr>
            <a:xfrm>
              <a:off x="12077700" y="2575560"/>
              <a:ext cx="5734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XN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,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kA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49476DF-24AB-4179-B80B-4E2A55C7F8C5}"/>
                </a:ext>
              </a:extLst>
            </xdr:cNvPr>
            <xdr:cNvSpPr txBox="1"/>
          </xdr:nvSpPr>
          <xdr:spPr>
            <a:xfrm>
              <a:off x="12077700" y="2575560"/>
              <a:ext cx="5734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𝐼_𝑛  XN, kA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7620</xdr:colOff>
      <xdr:row>10</xdr:row>
      <xdr:rowOff>7620</xdr:rowOff>
    </xdr:from>
    <xdr:ext cx="2345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A4FC893-6CAD-4EDD-B541-170C2F211378}"/>
                </a:ext>
              </a:extLst>
            </xdr:cNvPr>
            <xdr:cNvSpPr txBox="1"/>
          </xdr:nvSpPr>
          <xdr:spPr>
            <a:xfrm>
              <a:off x="12077700" y="1836420"/>
              <a:ext cx="2345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A4FC893-6CAD-4EDD-B541-170C2F211378}"/>
                </a:ext>
              </a:extLst>
            </xdr:cNvPr>
            <xdr:cNvSpPr txBox="1"/>
          </xdr:nvSpPr>
          <xdr:spPr>
            <a:xfrm>
              <a:off x="12077700" y="1836420"/>
              <a:ext cx="2345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𝑋_ℎ𝑡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0</xdr:colOff>
      <xdr:row>11</xdr:row>
      <xdr:rowOff>15240</xdr:rowOff>
    </xdr:from>
    <xdr:ext cx="25359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BE917FEC-6C36-4311-AC01-11E27D8648EE}"/>
                </a:ext>
              </a:extLst>
            </xdr:cNvPr>
            <xdr:cNvSpPr txBox="1"/>
          </xdr:nvSpPr>
          <xdr:spPr>
            <a:xfrm>
              <a:off x="12070080" y="2026920"/>
              <a:ext cx="2535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𝑏𝑎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BE917FEC-6C36-4311-AC01-11E27D8648EE}"/>
                </a:ext>
              </a:extLst>
            </xdr:cNvPr>
            <xdr:cNvSpPr txBox="1"/>
          </xdr:nvSpPr>
          <xdr:spPr>
            <a:xfrm>
              <a:off x="12070080" y="2026920"/>
              <a:ext cx="2535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𝑅_𝑏𝑎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7620</xdr:colOff>
      <xdr:row>12</xdr:row>
      <xdr:rowOff>0</xdr:rowOff>
    </xdr:from>
    <xdr:ext cx="250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CA1A07E-0642-4048-80BF-00D98DBC0BC0}"/>
                </a:ext>
              </a:extLst>
            </xdr:cNvPr>
            <xdr:cNvSpPr txBox="1"/>
          </xdr:nvSpPr>
          <xdr:spPr>
            <a:xfrm>
              <a:off x="12077700" y="2194560"/>
              <a:ext cx="250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𝑏𝑎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CA1A07E-0642-4048-80BF-00D98DBC0BC0}"/>
                </a:ext>
              </a:extLst>
            </xdr:cNvPr>
            <xdr:cNvSpPr txBox="1"/>
          </xdr:nvSpPr>
          <xdr:spPr>
            <a:xfrm>
              <a:off x="12077700" y="2194560"/>
              <a:ext cx="250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𝑋_𝑏𝑎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0</xdr:colOff>
      <xdr:row>13</xdr:row>
      <xdr:rowOff>0</xdr:rowOff>
    </xdr:from>
    <xdr:ext cx="1824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9CB13D00-9317-4E9F-ACDC-D2F63D03E8E8}"/>
                </a:ext>
              </a:extLst>
            </xdr:cNvPr>
            <xdr:cNvSpPr txBox="1"/>
          </xdr:nvSpPr>
          <xdr:spPr>
            <a:xfrm>
              <a:off x="12070080" y="2377440"/>
              <a:ext cx="1824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9CB13D00-9317-4E9F-ACDC-D2F63D03E8E8}"/>
                </a:ext>
              </a:extLst>
            </xdr:cNvPr>
            <xdr:cNvSpPr txBox="1"/>
          </xdr:nvSpPr>
          <xdr:spPr>
            <a:xfrm>
              <a:off x="12070080" y="2377440"/>
              <a:ext cx="1824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𝑍_𝑘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38100</xdr:colOff>
      <xdr:row>16</xdr:row>
      <xdr:rowOff>0</xdr:rowOff>
    </xdr:from>
    <xdr:ext cx="1804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08B3566-4B34-4A5D-8C1E-55E9E9D1E65C}"/>
                </a:ext>
              </a:extLst>
            </xdr:cNvPr>
            <xdr:cNvSpPr txBox="1"/>
          </xdr:nvSpPr>
          <xdr:spPr>
            <a:xfrm>
              <a:off x="12108180" y="2926080"/>
              <a:ext cx="1804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08B3566-4B34-4A5D-8C1E-55E9E9D1E65C}"/>
                </a:ext>
              </a:extLst>
            </xdr:cNvPr>
            <xdr:cNvSpPr txBox="1"/>
          </xdr:nvSpPr>
          <xdr:spPr>
            <a:xfrm>
              <a:off x="12108180" y="2926080"/>
              <a:ext cx="1804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𝑅_𝑐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30480</xdr:colOff>
      <xdr:row>17</xdr:row>
      <xdr:rowOff>7620</xdr:rowOff>
    </xdr:from>
    <xdr:ext cx="17774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0F0FA6B-940D-4850-B749-46D464972F3B}"/>
                </a:ext>
              </a:extLst>
            </xdr:cNvPr>
            <xdr:cNvSpPr txBox="1"/>
          </xdr:nvSpPr>
          <xdr:spPr>
            <a:xfrm>
              <a:off x="12100560" y="3116580"/>
              <a:ext cx="17774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0F0FA6B-940D-4850-B749-46D464972F3B}"/>
                </a:ext>
              </a:extLst>
            </xdr:cNvPr>
            <xdr:cNvSpPr txBox="1"/>
          </xdr:nvSpPr>
          <xdr:spPr>
            <a:xfrm>
              <a:off x="12100560" y="3116580"/>
              <a:ext cx="17774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𝑋_𝑐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38100</xdr:colOff>
      <xdr:row>18</xdr:row>
      <xdr:rowOff>7620</xdr:rowOff>
    </xdr:from>
    <xdr:ext cx="29674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DEB539DF-5D2F-49C2-82CE-C694011FC1B1}"/>
                </a:ext>
              </a:extLst>
            </xdr:cNvPr>
            <xdr:cNvSpPr txBox="1"/>
          </xdr:nvSpPr>
          <xdr:spPr>
            <a:xfrm>
              <a:off x="12108180" y="3299460"/>
              <a:ext cx="2967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𝑍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𝑘</m:t>
                      </m:r>
                    </m:sub>
                  </m:sSub>
                </m:oMath>
              </a14:m>
              <a:r>
                <a:rPr lang="en-US" sz="1100"/>
                <a:t>PX</a:t>
              </a:r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DEB539DF-5D2F-49C2-82CE-C694011FC1B1}"/>
                </a:ext>
              </a:extLst>
            </xdr:cNvPr>
            <xdr:cNvSpPr txBox="1"/>
          </xdr:nvSpPr>
          <xdr:spPr>
            <a:xfrm>
              <a:off x="12108180" y="3299460"/>
              <a:ext cx="2967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𝑍_𝑘</a:t>
              </a:r>
              <a:r>
                <a:rPr lang="en-US" sz="1100"/>
                <a:t>PX</a:t>
              </a:r>
            </a:p>
          </xdr:txBody>
        </xdr:sp>
      </mc:Fallback>
    </mc:AlternateContent>
    <xdr:clientData/>
  </xdr:oneCellAnchor>
  <xdr:oneCellAnchor>
    <xdr:from>
      <xdr:col>22</xdr:col>
      <xdr:colOff>22860</xdr:colOff>
      <xdr:row>19</xdr:row>
      <xdr:rowOff>22860</xdr:rowOff>
    </xdr:from>
    <xdr:ext cx="55758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4C25D75B-3CF2-4B40-9113-1856D71BF37D}"/>
                </a:ext>
              </a:extLst>
            </xdr:cNvPr>
            <xdr:cNvSpPr txBox="1"/>
          </xdr:nvSpPr>
          <xdr:spPr>
            <a:xfrm>
              <a:off x="12092940" y="3497580"/>
              <a:ext cx="55758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PX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,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kA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4C25D75B-3CF2-4B40-9113-1856D71BF37D}"/>
                </a:ext>
              </a:extLst>
            </xdr:cNvPr>
            <xdr:cNvSpPr txBox="1"/>
          </xdr:nvSpPr>
          <xdr:spPr>
            <a:xfrm>
              <a:off x="12092940" y="3497580"/>
              <a:ext cx="55758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𝐼_𝑛  PX, kA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10886</xdr:colOff>
      <xdr:row>21</xdr:row>
      <xdr:rowOff>38518</xdr:rowOff>
    </xdr:from>
    <xdr:ext cx="722762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3282B280-7E8E-4540-BC79-8E40A63C9229}"/>
                </a:ext>
              </a:extLst>
            </xdr:cNvPr>
            <xdr:cNvSpPr txBox="1"/>
          </xdr:nvSpPr>
          <xdr:spPr>
            <a:xfrm>
              <a:off x="12771455" y="4839118"/>
              <a:ext cx="7227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𝑡𝑏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𝑋𝑁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𝑘𝑉𝐴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3282B280-7E8E-4540-BC79-8E40A63C9229}"/>
                </a:ext>
              </a:extLst>
            </xdr:cNvPr>
            <xdr:cNvSpPr txBox="1"/>
          </xdr:nvSpPr>
          <xdr:spPr>
            <a:xfrm>
              <a:off x="12771455" y="4839118"/>
              <a:ext cx="7227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𝑆_𝑡𝑏 𝑋𝑁, 𝑘𝑉𝐴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22</xdr:col>
      <xdr:colOff>40194</xdr:colOff>
      <xdr:row>22</xdr:row>
      <xdr:rowOff>32656</xdr:rowOff>
    </xdr:from>
    <xdr:ext cx="211533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AAE7469-8F1A-426C-BA3A-EDF1BE88F9D8}"/>
            </a:ext>
          </a:extLst>
        </xdr:cNvPr>
        <xdr:cNvSpPr txBox="1"/>
      </xdr:nvSpPr>
      <xdr:spPr>
        <a:xfrm>
          <a:off x="12800763" y="5061856"/>
          <a:ext cx="2115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r>
            <a:rPr lang="en-US" sz="1100" b="0"/>
            <a:t>Kdk</a:t>
          </a:r>
        </a:p>
      </xdr:txBody>
    </xdr:sp>
    <xdr:clientData/>
  </xdr:oneCellAnchor>
  <xdr:oneCellAnchor>
    <xdr:from>
      <xdr:col>22</xdr:col>
      <xdr:colOff>0</xdr:colOff>
      <xdr:row>24</xdr:row>
      <xdr:rowOff>0</xdr:rowOff>
    </xdr:from>
    <xdr:ext cx="649985" cy="1826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E8C91C9-BCC2-4A49-8880-D5429ECBB664}"/>
                </a:ext>
              </a:extLst>
            </xdr:cNvPr>
            <xdr:cNvSpPr txBox="1"/>
          </xdr:nvSpPr>
          <xdr:spPr>
            <a:xfrm>
              <a:off x="12774706" y="5593976"/>
              <a:ext cx="649985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á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ả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𝑋𝑁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E8C91C9-BCC2-4A49-8880-D5429ECBB664}"/>
                </a:ext>
              </a:extLst>
            </xdr:cNvPr>
            <xdr:cNvSpPr txBox="1"/>
          </xdr:nvSpPr>
          <xdr:spPr>
            <a:xfrm>
              <a:off x="12774706" y="5593976"/>
              <a:ext cx="649985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𝑘_(𝑞𝑢á 𝑡ả𝑖) 𝑋𝑁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25AC-B5D9-45E1-82BE-6714F862514C}">
  <dimension ref="A1:K10"/>
  <sheetViews>
    <sheetView workbookViewId="0">
      <selection activeCell="F15" sqref="F15"/>
    </sheetView>
  </sheetViews>
  <sheetFormatPr defaultRowHeight="14.4" x14ac:dyDescent="0.3"/>
  <cols>
    <col min="1" max="1" width="10.44140625" customWidth="1"/>
    <col min="2" max="2" width="16.33203125" customWidth="1"/>
    <col min="3" max="3" width="13.33203125" customWidth="1"/>
    <col min="4" max="4" width="11" style="4" customWidth="1"/>
    <col min="5" max="5" width="8.88671875" style="6"/>
    <col min="6" max="6" width="10.109375" style="6" customWidth="1"/>
    <col min="7" max="7" width="9.88671875" style="6" customWidth="1"/>
    <col min="8" max="8" width="11" style="6" customWidth="1"/>
    <col min="9" max="9" width="15.44140625" style="6" customWidth="1"/>
    <col min="10" max="10" width="12.88671875" style="6" customWidth="1"/>
    <col min="11" max="11" width="9.88671875" customWidth="1"/>
  </cols>
  <sheetData>
    <row r="1" spans="1:11" x14ac:dyDescent="0.3">
      <c r="A1" s="11" t="s">
        <v>10</v>
      </c>
      <c r="B1" s="11" t="s">
        <v>11</v>
      </c>
      <c r="C1" s="11" t="s">
        <v>12</v>
      </c>
      <c r="D1" s="12"/>
      <c r="E1" s="11"/>
      <c r="F1" s="11"/>
      <c r="G1" s="11"/>
      <c r="H1" s="11"/>
      <c r="I1" s="11" t="s">
        <v>13</v>
      </c>
      <c r="J1" s="11" t="s">
        <v>14</v>
      </c>
      <c r="K1" s="11" t="s">
        <v>15</v>
      </c>
    </row>
    <row r="2" spans="1:11" x14ac:dyDescent="0.3">
      <c r="A2" s="1" t="s">
        <v>23</v>
      </c>
      <c r="B2" s="1" t="s">
        <v>32</v>
      </c>
      <c r="C2" s="1" t="s">
        <v>16</v>
      </c>
      <c r="D2" s="5">
        <v>316.07</v>
      </c>
      <c r="E2" s="2">
        <v>12.72</v>
      </c>
      <c r="F2" s="2">
        <v>690</v>
      </c>
      <c r="G2" s="2">
        <v>630</v>
      </c>
      <c r="H2" s="2">
        <v>65</v>
      </c>
      <c r="I2" s="2" t="s">
        <v>8</v>
      </c>
      <c r="J2" s="2" t="s">
        <v>19</v>
      </c>
      <c r="K2" s="2" t="s">
        <v>7</v>
      </c>
    </row>
    <row r="3" spans="1:11" x14ac:dyDescent="0.3">
      <c r="A3" s="1" t="s">
        <v>24</v>
      </c>
      <c r="B3" s="1" t="s">
        <v>33</v>
      </c>
      <c r="C3" s="1" t="s">
        <v>17</v>
      </c>
      <c r="D3" s="5">
        <v>316.07</v>
      </c>
      <c r="E3" s="2">
        <v>12.72</v>
      </c>
      <c r="F3" s="2">
        <v>690</v>
      </c>
      <c r="G3" s="2">
        <v>630</v>
      </c>
      <c r="H3" s="2">
        <v>65</v>
      </c>
      <c r="I3" s="2" t="s">
        <v>8</v>
      </c>
      <c r="J3" s="2" t="s">
        <v>19</v>
      </c>
      <c r="K3" s="2" t="s">
        <v>7</v>
      </c>
    </row>
    <row r="4" spans="1:11" x14ac:dyDescent="0.3">
      <c r="A4" s="1" t="s">
        <v>25</v>
      </c>
      <c r="B4" s="1" t="s">
        <v>34</v>
      </c>
      <c r="C4" s="1" t="s">
        <v>18</v>
      </c>
      <c r="D4" s="5">
        <v>316.07</v>
      </c>
      <c r="E4" s="2">
        <v>12.72</v>
      </c>
      <c r="F4" s="2">
        <v>690</v>
      </c>
      <c r="G4" s="2">
        <v>630</v>
      </c>
      <c r="H4" s="2">
        <v>65</v>
      </c>
      <c r="I4" s="2" t="s">
        <v>8</v>
      </c>
      <c r="J4" s="2" t="s">
        <v>19</v>
      </c>
      <c r="K4" s="2" t="s">
        <v>7</v>
      </c>
    </row>
    <row r="5" spans="1:11" x14ac:dyDescent="0.3">
      <c r="A5" s="1" t="s">
        <v>26</v>
      </c>
      <c r="B5" s="1" t="s">
        <v>35</v>
      </c>
      <c r="C5" s="1" t="s">
        <v>41</v>
      </c>
      <c r="D5" s="5">
        <v>110.17</v>
      </c>
      <c r="E5" s="2">
        <v>1.44</v>
      </c>
      <c r="F5" s="2">
        <v>690</v>
      </c>
      <c r="G5" s="2">
        <v>160</v>
      </c>
      <c r="H5" s="2">
        <v>36</v>
      </c>
      <c r="I5" s="2" t="s">
        <v>8</v>
      </c>
      <c r="J5" s="7" t="s">
        <v>20</v>
      </c>
      <c r="K5" s="2" t="s">
        <v>9</v>
      </c>
    </row>
    <row r="6" spans="1:11" x14ac:dyDescent="0.3">
      <c r="A6" s="1" t="s">
        <v>27</v>
      </c>
      <c r="B6" s="1" t="s">
        <v>36</v>
      </c>
      <c r="C6" s="1" t="s">
        <v>42</v>
      </c>
      <c r="D6" s="5">
        <v>113.43</v>
      </c>
      <c r="E6" s="2">
        <v>1.44</v>
      </c>
      <c r="F6" s="2">
        <v>690</v>
      </c>
      <c r="G6" s="2">
        <v>160</v>
      </c>
      <c r="H6" s="2">
        <v>36</v>
      </c>
      <c r="I6" s="2" t="s">
        <v>8</v>
      </c>
      <c r="J6" s="7" t="s">
        <v>20</v>
      </c>
      <c r="K6" s="2" t="s">
        <v>9</v>
      </c>
    </row>
    <row r="7" spans="1:11" x14ac:dyDescent="0.3">
      <c r="A7" s="1" t="s">
        <v>28</v>
      </c>
      <c r="B7" s="1" t="s">
        <v>37</v>
      </c>
      <c r="C7" s="1" t="s">
        <v>43</v>
      </c>
      <c r="D7" s="5">
        <v>103.75</v>
      </c>
      <c r="E7" s="2">
        <v>1.44</v>
      </c>
      <c r="F7" s="2">
        <v>690</v>
      </c>
      <c r="G7" s="2">
        <v>160</v>
      </c>
      <c r="H7" s="2">
        <v>36</v>
      </c>
      <c r="I7" s="2" t="s">
        <v>8</v>
      </c>
      <c r="J7" s="7" t="s">
        <v>20</v>
      </c>
      <c r="K7" s="2" t="s">
        <v>9</v>
      </c>
    </row>
    <row r="8" spans="1:11" x14ac:dyDescent="0.3">
      <c r="A8" s="1" t="s">
        <v>29</v>
      </c>
      <c r="B8" s="1" t="s">
        <v>38</v>
      </c>
      <c r="C8" s="1" t="s">
        <v>44</v>
      </c>
      <c r="D8" s="5">
        <v>103.71</v>
      </c>
      <c r="E8" s="2">
        <v>1.44</v>
      </c>
      <c r="F8" s="2">
        <v>690</v>
      </c>
      <c r="G8" s="2">
        <v>160</v>
      </c>
      <c r="H8" s="2">
        <v>36</v>
      </c>
      <c r="I8" s="2" t="s">
        <v>8</v>
      </c>
      <c r="J8" s="7" t="s">
        <v>20</v>
      </c>
      <c r="K8" s="2" t="s">
        <v>9</v>
      </c>
    </row>
    <row r="9" spans="1:11" x14ac:dyDescent="0.3">
      <c r="A9" s="1" t="s">
        <v>30</v>
      </c>
      <c r="B9" s="1" t="s">
        <v>39</v>
      </c>
      <c r="C9" s="1" t="s">
        <v>45</v>
      </c>
      <c r="D9" s="5">
        <v>60.74</v>
      </c>
      <c r="E9" s="2">
        <v>1.44</v>
      </c>
      <c r="F9" s="2">
        <v>690</v>
      </c>
      <c r="G9" s="2">
        <v>160</v>
      </c>
      <c r="H9" s="2">
        <v>36</v>
      </c>
      <c r="I9" s="2" t="s">
        <v>8</v>
      </c>
      <c r="J9" s="7" t="s">
        <v>20</v>
      </c>
      <c r="K9" s="2" t="s">
        <v>9</v>
      </c>
    </row>
    <row r="10" spans="1:11" x14ac:dyDescent="0.3">
      <c r="A10" s="1" t="s">
        <v>31</v>
      </c>
      <c r="B10" s="1" t="s">
        <v>40</v>
      </c>
      <c r="C10" s="1" t="s">
        <v>46</v>
      </c>
      <c r="D10" s="5">
        <v>99.26</v>
      </c>
      <c r="E10" s="2">
        <v>1.44</v>
      </c>
      <c r="F10" s="2">
        <v>690</v>
      </c>
      <c r="G10" s="2">
        <v>160</v>
      </c>
      <c r="H10" s="2">
        <v>36</v>
      </c>
      <c r="I10" s="2" t="s">
        <v>8</v>
      </c>
      <c r="J10" s="7" t="s">
        <v>20</v>
      </c>
      <c r="K10" s="2" t="s">
        <v>9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3892-BAAE-4B81-9134-26B00DE6651D}">
  <dimension ref="A1:X32"/>
  <sheetViews>
    <sheetView tabSelected="1" zoomScale="70" zoomScaleNormal="70" workbookViewId="0">
      <selection activeCell="AB16" sqref="AB16"/>
    </sheetView>
  </sheetViews>
  <sheetFormatPr defaultRowHeight="14.4" x14ac:dyDescent="0.3"/>
  <cols>
    <col min="1" max="1" width="13" customWidth="1"/>
    <col min="2" max="2" width="13.44140625" customWidth="1"/>
    <col min="3" max="12" width="5.109375" bestFit="1" customWidth="1"/>
    <col min="13" max="13" width="9" style="3" bestFit="1" customWidth="1"/>
    <col min="14" max="14" width="9" bestFit="1" customWidth="1"/>
    <col min="15" max="21" width="9" style="3" bestFit="1" customWidth="1"/>
    <col min="22" max="22" width="9.6640625" style="3" bestFit="1" customWidth="1"/>
    <col min="23" max="23" width="11.44140625" customWidth="1"/>
    <col min="24" max="24" width="13.109375" bestFit="1" customWidth="1"/>
  </cols>
  <sheetData>
    <row r="1" spans="1:24" ht="18" x14ac:dyDescent="0.35">
      <c r="A1" s="29" t="s">
        <v>49</v>
      </c>
      <c r="B1" s="29" t="s">
        <v>21</v>
      </c>
      <c r="C1" s="30" t="s">
        <v>22</v>
      </c>
      <c r="D1" s="31"/>
      <c r="E1" s="31"/>
      <c r="F1" s="31"/>
      <c r="G1" s="31"/>
      <c r="H1" s="31"/>
      <c r="I1" s="31"/>
      <c r="J1" s="31"/>
      <c r="K1" s="31"/>
      <c r="L1" s="31"/>
      <c r="M1" s="32"/>
      <c r="N1" s="31"/>
      <c r="O1" s="32"/>
      <c r="P1" s="33"/>
      <c r="Q1" s="32"/>
      <c r="R1" s="34" t="s">
        <v>47</v>
      </c>
      <c r="S1" s="34" t="s">
        <v>2</v>
      </c>
      <c r="T1" s="35" t="s">
        <v>3</v>
      </c>
      <c r="U1" s="34" t="s">
        <v>4</v>
      </c>
      <c r="V1" s="32"/>
      <c r="W1" s="23"/>
      <c r="X1" s="9">
        <f>T3+T8+T13+T18+T23+T28</f>
        <v>386.75392951580517</v>
      </c>
    </row>
    <row r="2" spans="1:24" ht="18" x14ac:dyDescent="0.35">
      <c r="A2" s="36"/>
      <c r="B2" s="36"/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2"/>
      <c r="N2" s="31"/>
      <c r="O2" s="32"/>
      <c r="P2" s="38"/>
      <c r="Q2" s="32"/>
      <c r="R2" s="39"/>
      <c r="S2" s="39"/>
      <c r="T2" s="39"/>
      <c r="U2" s="39"/>
      <c r="V2" s="32"/>
      <c r="W2" s="24"/>
      <c r="X2" s="9">
        <f>X4*X1</f>
        <v>287.47524089120463</v>
      </c>
    </row>
    <row r="3" spans="1:24" ht="18" x14ac:dyDescent="0.35">
      <c r="A3" s="19">
        <v>1</v>
      </c>
      <c r="B3" s="9" t="s">
        <v>0</v>
      </c>
      <c r="C3" s="8">
        <v>5.6</v>
      </c>
      <c r="D3" s="8">
        <v>4.5</v>
      </c>
      <c r="E3" s="8">
        <v>10</v>
      </c>
      <c r="F3" s="8">
        <v>7.5</v>
      </c>
      <c r="G3" s="8">
        <v>10</v>
      </c>
      <c r="H3" s="8">
        <v>2.8</v>
      </c>
      <c r="I3" s="8">
        <v>5</v>
      </c>
      <c r="J3" s="8">
        <v>7.5</v>
      </c>
      <c r="K3" s="8"/>
      <c r="L3" s="8"/>
      <c r="M3" s="16">
        <f>(C3*C4+D3*D4+E3*E4+F3*F4+G3*G4+H3*H4+I3*I4+J3*J4)/(C3+D3+E3+F3+G3+H3+I3+J3)</f>
        <v>0.59482041587901702</v>
      </c>
      <c r="N3" s="19">
        <v>8</v>
      </c>
      <c r="O3" s="16">
        <f>M3+(1-M3)/SQRT(N3)</f>
        <v>0.73807303164416316</v>
      </c>
      <c r="P3" s="16">
        <f>C3+D3+E3+F3+G3+H3+I3+J3+K3+L3</f>
        <v>52.9</v>
      </c>
      <c r="Q3" s="16">
        <f>O3*P3</f>
        <v>39.044063373976229</v>
      </c>
      <c r="R3" s="16">
        <f>(C3*C5+D3*D5+E3*E5+F3*F5+G3*G5+H3*H5+I3*I5+J3*J5+K3*K5+L3*L5)/P3</f>
        <v>0.7351606805293005</v>
      </c>
      <c r="S3" s="16">
        <f>SQRT(1-POWER(R3,2))/R3</f>
        <v>0.92210167182353608</v>
      </c>
      <c r="T3" s="16">
        <f>P3/R3</f>
        <v>71.957058369760873</v>
      </c>
      <c r="U3" s="16">
        <f>P3*S3</f>
        <v>48.779178439465056</v>
      </c>
      <c r="V3" s="16">
        <f>C6+D6+E6+F6+G6+H6+I6+J6+K6+L6</f>
        <v>110.17409271719751</v>
      </c>
      <c r="W3" s="22"/>
      <c r="X3" s="9">
        <f>(T3*M3+T8*M8+T13*M13+T18*M18+T23*M23+T28*M28)/X1</f>
        <v>0.56620776302869003</v>
      </c>
    </row>
    <row r="4" spans="1:24" ht="18" x14ac:dyDescent="0.35">
      <c r="A4" s="20"/>
      <c r="B4" s="9"/>
      <c r="C4" s="8">
        <v>0.65</v>
      </c>
      <c r="D4" s="8">
        <v>0.62</v>
      </c>
      <c r="E4" s="8">
        <v>0.46</v>
      </c>
      <c r="F4" s="8">
        <v>0.56000000000000005</v>
      </c>
      <c r="G4" s="8">
        <v>0.68</v>
      </c>
      <c r="H4" s="8">
        <v>0.87</v>
      </c>
      <c r="I4" s="8">
        <v>0.83</v>
      </c>
      <c r="J4" s="8">
        <v>0.38</v>
      </c>
      <c r="K4" s="8"/>
      <c r="L4" s="8"/>
      <c r="M4" s="17"/>
      <c r="N4" s="20"/>
      <c r="O4" s="17"/>
      <c r="P4" s="17"/>
      <c r="Q4" s="17"/>
      <c r="R4" s="17"/>
      <c r="S4" s="17"/>
      <c r="T4" s="17"/>
      <c r="U4" s="17"/>
      <c r="V4" s="17"/>
      <c r="W4" s="22"/>
      <c r="X4" s="9">
        <f>X3+((1-X3)/SQRT(6))</f>
        <v>0.7433027021887223</v>
      </c>
    </row>
    <row r="5" spans="1:24" ht="18" x14ac:dyDescent="0.35">
      <c r="A5" s="20"/>
      <c r="B5" s="9" t="s">
        <v>1</v>
      </c>
      <c r="C5" s="8">
        <v>0.78</v>
      </c>
      <c r="D5" s="8">
        <v>0.81</v>
      </c>
      <c r="E5" s="8">
        <v>0.68</v>
      </c>
      <c r="F5" s="8">
        <v>0.64</v>
      </c>
      <c r="G5" s="8">
        <v>0.79</v>
      </c>
      <c r="H5" s="8">
        <v>0.84</v>
      </c>
      <c r="I5" s="8">
        <v>0.77</v>
      </c>
      <c r="J5" s="8">
        <v>0.69</v>
      </c>
      <c r="K5" s="8"/>
      <c r="L5" s="8"/>
      <c r="M5" s="17"/>
      <c r="N5" s="20"/>
      <c r="O5" s="17"/>
      <c r="P5" s="17"/>
      <c r="Q5" s="17"/>
      <c r="R5" s="17"/>
      <c r="S5" s="17"/>
      <c r="T5" s="17"/>
      <c r="U5" s="17"/>
      <c r="V5" s="17"/>
      <c r="W5" s="25" t="s">
        <v>5</v>
      </c>
      <c r="X5" s="9">
        <f>(T3*R3+T8*R8+T13*R13+T18*R18+T23*R23+T28*R28)/X1</f>
        <v>0.75060646536530296</v>
      </c>
    </row>
    <row r="6" spans="1:24" ht="18" x14ac:dyDescent="0.35">
      <c r="A6" s="20"/>
      <c r="B6" s="9"/>
      <c r="C6" s="8">
        <f>C3/(SQRT(3)*0.38*C5)</f>
        <v>10.908102251895762</v>
      </c>
      <c r="D6" s="8">
        <f t="shared" ref="D6:J6" si="0">D3/(SQRT(3)*0.38*D5)</f>
        <v>8.4407934092050549</v>
      </c>
      <c r="E6" s="8">
        <f t="shared" si="0"/>
        <v>22.343276671425144</v>
      </c>
      <c r="F6" s="8">
        <f t="shared" si="0"/>
        <v>17.804798597541915</v>
      </c>
      <c r="G6" s="8">
        <f t="shared" si="0"/>
        <v>19.23218751464443</v>
      </c>
      <c r="H6" s="8">
        <f t="shared" si="0"/>
        <v>5.0644760455230333</v>
      </c>
      <c r="I6" s="8">
        <f t="shared" si="0"/>
        <v>9.8658624263435701</v>
      </c>
      <c r="J6" s="8">
        <f t="shared" si="0"/>
        <v>16.514595800618586</v>
      </c>
      <c r="K6" s="8"/>
      <c r="L6" s="8"/>
      <c r="M6" s="17"/>
      <c r="N6" s="20"/>
      <c r="O6" s="17"/>
      <c r="P6" s="17"/>
      <c r="Q6" s="17"/>
      <c r="R6" s="17"/>
      <c r="S6" s="17"/>
      <c r="T6" s="17"/>
      <c r="U6" s="17"/>
      <c r="V6" s="17"/>
      <c r="W6" s="25" t="s">
        <v>6</v>
      </c>
      <c r="X6" s="9">
        <f>SQRT(1-POWER(X5,2))</f>
        <v>0.66074952451878943</v>
      </c>
    </row>
    <row r="7" spans="1:24" ht="18" x14ac:dyDescent="0.35">
      <c r="A7" s="21"/>
      <c r="B7" s="9"/>
      <c r="C7" s="8">
        <f>C6/2.7</f>
        <v>4.0400378710725047</v>
      </c>
      <c r="D7" s="8">
        <f t="shared" ref="D7:J7" si="1">D6/2.7</f>
        <v>3.1262197811870571</v>
      </c>
      <c r="E7" s="8">
        <f t="shared" si="1"/>
        <v>8.2752876560833855</v>
      </c>
      <c r="F7" s="8">
        <f t="shared" si="1"/>
        <v>6.5943698509414492</v>
      </c>
      <c r="G7" s="8">
        <f t="shared" si="1"/>
        <v>7.1230324128312699</v>
      </c>
      <c r="H7" s="8">
        <f t="shared" si="1"/>
        <v>1.8757318687122344</v>
      </c>
      <c r="I7" s="8">
        <f t="shared" si="1"/>
        <v>3.6540231208679885</v>
      </c>
      <c r="J7" s="8">
        <f t="shared" si="1"/>
        <v>6.1165169631920691</v>
      </c>
      <c r="K7" s="8"/>
      <c r="L7" s="8"/>
      <c r="M7" s="18"/>
      <c r="N7" s="21"/>
      <c r="O7" s="18"/>
      <c r="P7" s="18"/>
      <c r="Q7" s="18"/>
      <c r="R7" s="18"/>
      <c r="S7" s="18"/>
      <c r="T7" s="18"/>
      <c r="U7" s="18"/>
      <c r="V7" s="18"/>
      <c r="W7" s="22"/>
      <c r="X7" s="9">
        <f>X2*X5</f>
        <v>215.78077444538613</v>
      </c>
    </row>
    <row r="8" spans="1:24" ht="18" x14ac:dyDescent="0.35">
      <c r="A8" s="19">
        <v>2</v>
      </c>
      <c r="B8" s="9" t="s">
        <v>0</v>
      </c>
      <c r="C8" s="8">
        <v>10</v>
      </c>
      <c r="D8" s="8">
        <v>2.8</v>
      </c>
      <c r="E8" s="8">
        <v>4.5</v>
      </c>
      <c r="F8" s="8">
        <v>6.3</v>
      </c>
      <c r="G8" s="8">
        <v>7.2</v>
      </c>
      <c r="H8" s="8">
        <v>6</v>
      </c>
      <c r="I8" s="8">
        <v>5.6</v>
      </c>
      <c r="J8" s="8">
        <v>4.5</v>
      </c>
      <c r="K8" s="8">
        <v>10</v>
      </c>
      <c r="L8" s="8"/>
      <c r="M8" s="16">
        <f>(C8*C9+D8*D9+E8*E9+F8*F9+G8*G9+H8*H9+I8*I9+J8*J9+K8*K9)/(C8+D8+E8+F8+G8+H8+I8+J8+K8)</f>
        <v>0.52497363796133578</v>
      </c>
      <c r="N8" s="19">
        <v>9</v>
      </c>
      <c r="O8" s="16">
        <f t="shared" ref="O8" si="2">M8+(1-M8)/SQRT(N8)</f>
        <v>0.68331575864089056</v>
      </c>
      <c r="P8" s="16">
        <f t="shared" ref="P8" si="3">C8+D8+E8+F8+G8+H8+I8+J8+K8+L8</f>
        <v>56.9</v>
      </c>
      <c r="Q8" s="16">
        <f t="shared" ref="Q8" si="4">O8*P8</f>
        <v>38.88066666666667</v>
      </c>
      <c r="R8" s="16">
        <f t="shared" ref="R8" si="5">(C8*C10+D8*D10+E8*E10+F8*F10+G8*G10+H8*H10+I8*I10+J8*J10+K8*K10+L8*L10)/P8</f>
        <v>0.76625659050966621</v>
      </c>
      <c r="S8" s="16">
        <f t="shared" ref="S8" si="6">SQRT(1-POWER(R8,2))/R8</f>
        <v>0.83853725431541892</v>
      </c>
      <c r="T8" s="16">
        <f t="shared" ref="T8" si="7">P8/R8</f>
        <v>74.257110091743101</v>
      </c>
      <c r="U8" s="16">
        <f t="shared" ref="U8" si="8">P8*S8</f>
        <v>47.712769770547332</v>
      </c>
      <c r="V8" s="16">
        <f>C11+D11+E11+F11+G11+H11+I11+J11+K11+L11</f>
        <v>113.43415205722086</v>
      </c>
      <c r="W8" s="22"/>
      <c r="X8" s="9">
        <f>X2*X6</f>
        <v>189.94912872978793</v>
      </c>
    </row>
    <row r="9" spans="1:24" ht="18" x14ac:dyDescent="0.35">
      <c r="A9" s="20"/>
      <c r="B9" s="9"/>
      <c r="C9" s="8">
        <v>0.43</v>
      </c>
      <c r="D9" s="8">
        <v>0.54</v>
      </c>
      <c r="E9" s="8">
        <v>0.56000000000000005</v>
      </c>
      <c r="F9" s="8">
        <v>0.47</v>
      </c>
      <c r="G9" s="8">
        <v>0.49</v>
      </c>
      <c r="H9" s="8">
        <v>0.67</v>
      </c>
      <c r="I9" s="8">
        <v>0.65</v>
      </c>
      <c r="J9" s="8">
        <v>0.62</v>
      </c>
      <c r="K9" s="8">
        <v>0.46</v>
      </c>
      <c r="L9" s="8"/>
      <c r="M9" s="17"/>
      <c r="N9" s="20"/>
      <c r="O9" s="17"/>
      <c r="P9" s="17"/>
      <c r="Q9" s="17"/>
      <c r="R9" s="17"/>
      <c r="S9" s="17"/>
      <c r="T9" s="17"/>
      <c r="U9" s="17"/>
      <c r="V9" s="17"/>
      <c r="W9" s="22"/>
      <c r="X9" s="22">
        <f>X2/(SQRT(3)*22)</f>
        <v>7.5442685324495233</v>
      </c>
    </row>
    <row r="10" spans="1:24" ht="18" x14ac:dyDescent="0.35">
      <c r="A10" s="20"/>
      <c r="B10" s="9" t="s">
        <v>1</v>
      </c>
      <c r="C10" s="8">
        <v>0.74</v>
      </c>
      <c r="D10" s="8">
        <v>0.69</v>
      </c>
      <c r="E10" s="8">
        <v>0.82</v>
      </c>
      <c r="F10" s="8">
        <v>0.83</v>
      </c>
      <c r="G10" s="8">
        <v>0.83</v>
      </c>
      <c r="H10" s="8">
        <v>0.76</v>
      </c>
      <c r="I10" s="8">
        <v>0.78</v>
      </c>
      <c r="J10" s="8">
        <v>0.81</v>
      </c>
      <c r="K10" s="8">
        <v>0.68</v>
      </c>
      <c r="L10" s="8"/>
      <c r="M10" s="17"/>
      <c r="N10" s="20"/>
      <c r="O10" s="17"/>
      <c r="P10" s="17"/>
      <c r="Q10" s="17"/>
      <c r="R10" s="17"/>
      <c r="S10" s="17"/>
      <c r="T10" s="17"/>
      <c r="U10" s="17"/>
      <c r="V10" s="17"/>
      <c r="W10" s="22"/>
      <c r="X10" s="22">
        <f>X9/1.2</f>
        <v>6.2868904437079367</v>
      </c>
    </row>
    <row r="11" spans="1:24" ht="18" x14ac:dyDescent="0.35">
      <c r="A11" s="20"/>
      <c r="B11" s="9"/>
      <c r="C11" s="8">
        <f t="shared" ref="C11:K11" si="9">C8/(SQRT(3)*0.38*C10)</f>
        <v>20.531659644012297</v>
      </c>
      <c r="D11" s="8">
        <f t="shared" si="9"/>
        <v>6.1654490988976054</v>
      </c>
      <c r="E11" s="8">
        <f t="shared" si="9"/>
        <v>8.3378569042147497</v>
      </c>
      <c r="F11" s="8">
        <f t="shared" si="9"/>
        <v>11.532361115709076</v>
      </c>
      <c r="G11" s="8">
        <f t="shared" si="9"/>
        <v>13.179841275096088</v>
      </c>
      <c r="H11" s="8">
        <f t="shared" si="9"/>
        <v>11.994811686765081</v>
      </c>
      <c r="I11" s="8">
        <f t="shared" si="9"/>
        <v>10.908102251895762</v>
      </c>
      <c r="J11" s="8">
        <f t="shared" si="9"/>
        <v>8.4407934092050549</v>
      </c>
      <c r="K11" s="8">
        <f t="shared" si="9"/>
        <v>22.343276671425144</v>
      </c>
      <c r="L11" s="8"/>
      <c r="M11" s="17"/>
      <c r="N11" s="20"/>
      <c r="O11" s="17"/>
      <c r="P11" s="17"/>
      <c r="Q11" s="17"/>
      <c r="R11" s="17"/>
      <c r="S11" s="17"/>
      <c r="T11" s="17"/>
      <c r="U11" s="17"/>
      <c r="V11" s="17"/>
      <c r="W11" s="22"/>
      <c r="X11" s="9">
        <f>POWER(0.4, 2)/180</f>
        <v>8.8888888888888904E-4</v>
      </c>
    </row>
    <row r="12" spans="1:24" ht="18" x14ac:dyDescent="0.35">
      <c r="A12" s="21"/>
      <c r="B12" s="9"/>
      <c r="C12" s="8">
        <f t="shared" ref="C12:K12" si="10">C11/2.7</f>
        <v>7.6043183866712205</v>
      </c>
      <c r="D12" s="8">
        <f t="shared" si="10"/>
        <v>2.2834996662583724</v>
      </c>
      <c r="E12" s="8">
        <f t="shared" si="10"/>
        <v>3.0880951497091664</v>
      </c>
      <c r="F12" s="8">
        <f t="shared" si="10"/>
        <v>4.2712448576700277</v>
      </c>
      <c r="G12" s="8">
        <f t="shared" si="10"/>
        <v>4.8814226944800323</v>
      </c>
      <c r="H12" s="8">
        <f t="shared" si="10"/>
        <v>4.4425228469500295</v>
      </c>
      <c r="I12" s="8">
        <f t="shared" si="10"/>
        <v>4.0400378710725047</v>
      </c>
      <c r="J12" s="8">
        <f t="shared" si="10"/>
        <v>3.1262197811870571</v>
      </c>
      <c r="K12" s="8">
        <f t="shared" si="10"/>
        <v>8.2752876560833855</v>
      </c>
      <c r="L12" s="8"/>
      <c r="M12" s="18"/>
      <c r="N12" s="21"/>
      <c r="O12" s="18"/>
      <c r="P12" s="18"/>
      <c r="Q12" s="18"/>
      <c r="R12" s="18"/>
      <c r="S12" s="18"/>
      <c r="T12" s="18"/>
      <c r="U12" s="18"/>
      <c r="V12" s="18"/>
      <c r="W12" s="22"/>
      <c r="X12" s="9">
        <v>7.7749999999999998E-3</v>
      </c>
    </row>
    <row r="13" spans="1:24" ht="18" x14ac:dyDescent="0.35">
      <c r="A13" s="19">
        <v>3</v>
      </c>
      <c r="B13" s="9" t="s">
        <v>0</v>
      </c>
      <c r="C13" s="8">
        <v>8.5</v>
      </c>
      <c r="D13" s="8">
        <v>4.5</v>
      </c>
      <c r="E13" s="8">
        <v>6.3</v>
      </c>
      <c r="F13" s="8">
        <v>10</v>
      </c>
      <c r="G13" s="8">
        <v>4</v>
      </c>
      <c r="H13" s="8">
        <v>10</v>
      </c>
      <c r="I13" s="8">
        <v>4.5</v>
      </c>
      <c r="J13" s="8">
        <v>3</v>
      </c>
      <c r="K13" s="8"/>
      <c r="L13" s="8"/>
      <c r="M13" s="16">
        <f t="shared" ref="M13" si="11">(C13*C14+D13*D14+E13*E14+F13*F14+G13*G14+H13*H14+I13*I14+J13*J14)/(C13+D13+E13+F13+G13+H13+I13+J13)</f>
        <v>0.52767716535433073</v>
      </c>
      <c r="N13" s="19">
        <v>8</v>
      </c>
      <c r="O13" s="16">
        <f t="shared" ref="O13" si="12">M13+(1-M13)/SQRT(N13)</f>
        <v>0.69466850499793331</v>
      </c>
      <c r="P13" s="16">
        <f t="shared" ref="P13" si="13">C13+D13+E13+F13+G13+H13+I13+J13+K13+L13</f>
        <v>50.8</v>
      </c>
      <c r="Q13" s="16">
        <f t="shared" ref="Q13" si="14">O13*P13</f>
        <v>35.28916005389501</v>
      </c>
      <c r="R13" s="16">
        <f t="shared" ref="R13" si="15">(C13*C15+D13*D15+E13*E15+F13*F15+G13*G15+H13*H15+I13*I15+J13*J15+K13*K15+L13*L15)/P13</f>
        <v>0.74840551181102377</v>
      </c>
      <c r="S13" s="16">
        <f t="shared" ref="S13" si="16">SQRT(1-POWER(R13,2))/R13</f>
        <v>0.88620596198464063</v>
      </c>
      <c r="T13" s="16">
        <f t="shared" ref="T13" si="17">P13/R13</f>
        <v>67.877640127304758</v>
      </c>
      <c r="U13" s="16">
        <f t="shared" ref="U13" si="18">P13*S13</f>
        <v>45.019262868819744</v>
      </c>
      <c r="V13" s="16">
        <f>C16+D16+E16+F16+G16+H16+I16+J16+K16+L16</f>
        <v>103.75412931705264</v>
      </c>
      <c r="W13" s="26"/>
      <c r="X13" s="9">
        <v>1.5994999999999999E-2</v>
      </c>
    </row>
    <row r="14" spans="1:24" ht="18" x14ac:dyDescent="0.35">
      <c r="A14" s="20"/>
      <c r="B14" s="9"/>
      <c r="C14" s="8">
        <v>0.55000000000000004</v>
      </c>
      <c r="D14" s="8">
        <v>0.56000000000000005</v>
      </c>
      <c r="E14" s="8">
        <v>0.62</v>
      </c>
      <c r="F14" s="8">
        <v>0.41</v>
      </c>
      <c r="G14" s="8">
        <v>0.66</v>
      </c>
      <c r="H14" s="8">
        <v>0.37</v>
      </c>
      <c r="I14" s="8">
        <v>0.67</v>
      </c>
      <c r="J14" s="8">
        <v>0.75</v>
      </c>
      <c r="K14" s="8"/>
      <c r="L14" s="8"/>
      <c r="M14" s="17"/>
      <c r="N14" s="20"/>
      <c r="O14" s="17"/>
      <c r="P14" s="17"/>
      <c r="Q14" s="17"/>
      <c r="R14" s="17"/>
      <c r="S14" s="17"/>
      <c r="T14" s="17"/>
      <c r="U14" s="17"/>
      <c r="V14" s="17"/>
      <c r="W14" s="26"/>
      <c r="X14" s="9">
        <f>SQRT(POWER(X12,2)+POWER(X11+X13, 2))</f>
        <v>1.8588069534310057E-2</v>
      </c>
    </row>
    <row r="15" spans="1:24" ht="18" x14ac:dyDescent="0.35">
      <c r="A15" s="20"/>
      <c r="B15" s="9" t="s">
        <v>1</v>
      </c>
      <c r="C15" s="8">
        <v>0.81</v>
      </c>
      <c r="D15" s="8">
        <v>0.76</v>
      </c>
      <c r="E15" s="8">
        <v>0.73</v>
      </c>
      <c r="F15" s="8">
        <v>0.65</v>
      </c>
      <c r="G15" s="8">
        <v>0.77</v>
      </c>
      <c r="H15" s="8">
        <v>0.8</v>
      </c>
      <c r="I15" s="8">
        <v>0.73</v>
      </c>
      <c r="J15" s="8">
        <v>0.75</v>
      </c>
      <c r="K15" s="8"/>
      <c r="L15" s="8"/>
      <c r="M15" s="17"/>
      <c r="N15" s="20"/>
      <c r="O15" s="17"/>
      <c r="P15" s="17"/>
      <c r="Q15" s="17"/>
      <c r="R15" s="17"/>
      <c r="S15" s="17"/>
      <c r="T15" s="17"/>
      <c r="U15" s="17"/>
      <c r="V15" s="17"/>
      <c r="W15" s="26"/>
      <c r="X15" s="9">
        <f>400/(SQRT(3)*18.15)</f>
        <v>12.723972874702499</v>
      </c>
    </row>
    <row r="16" spans="1:24" ht="18" x14ac:dyDescent="0.35">
      <c r="A16" s="20"/>
      <c r="B16" s="9"/>
      <c r="C16" s="8">
        <f t="shared" ref="C16:J16" si="19">C13/(SQRT(3)*0.38*C15)</f>
        <v>15.943720884053993</v>
      </c>
      <c r="D16" s="8">
        <f t="shared" si="19"/>
        <v>8.9961087650738101</v>
      </c>
      <c r="E16" s="8">
        <f t="shared" si="19"/>
        <v>13.112136611011689</v>
      </c>
      <c r="F16" s="8">
        <f t="shared" si="19"/>
        <v>23.37450482549092</v>
      </c>
      <c r="G16" s="8">
        <f t="shared" si="19"/>
        <v>7.8926899410748561</v>
      </c>
      <c r="H16" s="8">
        <f t="shared" si="19"/>
        <v>18.991785170711374</v>
      </c>
      <c r="I16" s="8">
        <f t="shared" si="19"/>
        <v>9.3658118650083502</v>
      </c>
      <c r="J16" s="8">
        <f t="shared" si="19"/>
        <v>6.0773712546276402</v>
      </c>
      <c r="K16" s="8"/>
      <c r="L16" s="8"/>
      <c r="M16" s="17"/>
      <c r="N16" s="20"/>
      <c r="O16" s="17"/>
      <c r="P16" s="17"/>
      <c r="Q16" s="17"/>
      <c r="R16" s="17"/>
      <c r="S16" s="17"/>
      <c r="T16" s="17"/>
      <c r="U16" s="17"/>
      <c r="V16" s="17"/>
      <c r="W16" s="27"/>
      <c r="X16" s="13"/>
    </row>
    <row r="17" spans="1:24" ht="18" x14ac:dyDescent="0.35">
      <c r="A17" s="21"/>
      <c r="B17" s="9"/>
      <c r="C17" s="8">
        <f t="shared" ref="C17:J17" si="20">C16/2.7</f>
        <v>5.9050818089088857</v>
      </c>
      <c r="D17" s="8">
        <f t="shared" si="20"/>
        <v>3.3318921352125219</v>
      </c>
      <c r="E17" s="8">
        <f t="shared" si="20"/>
        <v>4.8563468929672915</v>
      </c>
      <c r="F17" s="8">
        <f t="shared" si="20"/>
        <v>8.6572240094410802</v>
      </c>
      <c r="G17" s="8">
        <f t="shared" si="20"/>
        <v>2.9232184966943908</v>
      </c>
      <c r="H17" s="8">
        <f t="shared" si="20"/>
        <v>7.0339945076708785</v>
      </c>
      <c r="I17" s="8">
        <f t="shared" si="20"/>
        <v>3.4688192092623518</v>
      </c>
      <c r="J17" s="8">
        <f t="shared" si="20"/>
        <v>2.2508782424546814</v>
      </c>
      <c r="K17" s="8"/>
      <c r="L17" s="8"/>
      <c r="M17" s="18"/>
      <c r="N17" s="21"/>
      <c r="O17" s="18"/>
      <c r="P17" s="18"/>
      <c r="Q17" s="18"/>
      <c r="R17" s="18"/>
      <c r="S17" s="18"/>
      <c r="T17" s="18"/>
      <c r="U17" s="18"/>
      <c r="V17" s="18"/>
      <c r="W17" s="26"/>
      <c r="X17" s="9">
        <v>0.15010000000000001</v>
      </c>
    </row>
    <row r="18" spans="1:24" ht="18" x14ac:dyDescent="0.35">
      <c r="A18" s="19">
        <v>4</v>
      </c>
      <c r="B18" s="9" t="s">
        <v>0</v>
      </c>
      <c r="C18" s="8">
        <v>4</v>
      </c>
      <c r="D18" s="8">
        <v>10</v>
      </c>
      <c r="E18" s="8">
        <v>4.5</v>
      </c>
      <c r="F18" s="8">
        <v>3</v>
      </c>
      <c r="G18" s="8">
        <v>5</v>
      </c>
      <c r="H18" s="8">
        <v>4.5</v>
      </c>
      <c r="I18" s="8">
        <v>6</v>
      </c>
      <c r="J18" s="8">
        <v>3.6</v>
      </c>
      <c r="K18" s="8">
        <v>4.2</v>
      </c>
      <c r="L18" s="8">
        <v>7</v>
      </c>
      <c r="M18" s="16">
        <f>(C18*C19+D18*D19+E18*E19+F18*F19+G18*G19+H18*H19+I18*I19+J18*J19+K18*K19+L18*L19)/(C18+D18+E18+F18+G18+H18+I18+J18+K18+L18)</f>
        <v>0.60666023166023164</v>
      </c>
      <c r="N18" s="19">
        <v>10</v>
      </c>
      <c r="O18" s="16">
        <f t="shared" ref="O18" si="21">M18+(1-M18)/SQRT(N18)</f>
        <v>0.73104518788789719</v>
      </c>
      <c r="P18" s="16">
        <f t="shared" ref="P18" si="22">C18+D18+E18+F18+G18+H18+I18+J18+K18+L18</f>
        <v>51.800000000000004</v>
      </c>
      <c r="Q18" s="16">
        <f t="shared" ref="Q18" si="23">O18*P18</f>
        <v>37.868140732593076</v>
      </c>
      <c r="R18" s="16">
        <f t="shared" ref="R18" si="24">(C18*C20+D18*D20+E18*E20+F18*F20+G18*G20+H18*H20+I18*I20+J18*J20+K18*K20+L18*L20)/P18</f>
        <v>0.76164092664092664</v>
      </c>
      <c r="S18" s="16">
        <f t="shared" ref="S18" si="25">SQRT(1-POWER(R18,2))/R18</f>
        <v>0.85079370345513616</v>
      </c>
      <c r="T18" s="16">
        <f t="shared" ref="T18" si="26">P18/R18</f>
        <v>68.011051124122375</v>
      </c>
      <c r="U18" s="16">
        <f t="shared" ref="U18" si="27">P18*S18</f>
        <v>44.071113838976054</v>
      </c>
      <c r="V18" s="16">
        <f>C21+D21+E21+F21+G21+H21+I21+J21+K21+L21</f>
        <v>103.71512266090026</v>
      </c>
      <c r="W18" s="22"/>
      <c r="X18" s="9">
        <v>9.4000000000000004E-3</v>
      </c>
    </row>
    <row r="19" spans="1:24" ht="18" x14ac:dyDescent="0.35">
      <c r="A19" s="20"/>
      <c r="B19" s="9"/>
      <c r="C19" s="8">
        <v>0.66</v>
      </c>
      <c r="D19" s="8">
        <v>0.37</v>
      </c>
      <c r="E19" s="8">
        <v>0.67</v>
      </c>
      <c r="F19" s="8">
        <v>0.75</v>
      </c>
      <c r="G19" s="8">
        <v>0.63</v>
      </c>
      <c r="H19" s="8">
        <v>0.56000000000000005</v>
      </c>
      <c r="I19" s="8">
        <v>0.65</v>
      </c>
      <c r="J19" s="8">
        <v>0.72</v>
      </c>
      <c r="K19" s="8">
        <v>0.49</v>
      </c>
      <c r="L19" s="8">
        <v>0.8</v>
      </c>
      <c r="M19" s="17"/>
      <c r="N19" s="20"/>
      <c r="O19" s="17"/>
      <c r="P19" s="17"/>
      <c r="Q19" s="17"/>
      <c r="R19" s="17"/>
      <c r="S19" s="17"/>
      <c r="T19" s="17"/>
      <c r="U19" s="17"/>
      <c r="V19" s="17"/>
      <c r="W19" s="22"/>
      <c r="X19" s="9">
        <f>SQRT(POWER(X12+X17,2)+POWER(X11+X13+X18,2))</f>
        <v>0.16004798792900665</v>
      </c>
    </row>
    <row r="20" spans="1:24" ht="18" x14ac:dyDescent="0.35">
      <c r="A20" s="20"/>
      <c r="B20" s="9" t="s">
        <v>1</v>
      </c>
      <c r="C20" s="8">
        <v>0.77</v>
      </c>
      <c r="D20" s="8">
        <v>0.8</v>
      </c>
      <c r="E20" s="8">
        <v>0.73</v>
      </c>
      <c r="F20" s="8">
        <v>0.75</v>
      </c>
      <c r="G20" s="8">
        <v>0.76</v>
      </c>
      <c r="H20" s="8">
        <v>0.8</v>
      </c>
      <c r="I20" s="8">
        <v>0.82</v>
      </c>
      <c r="J20" s="8">
        <v>0.67</v>
      </c>
      <c r="K20" s="8">
        <v>0.68</v>
      </c>
      <c r="L20" s="8">
        <v>0.75</v>
      </c>
      <c r="M20" s="17"/>
      <c r="N20" s="20"/>
      <c r="O20" s="17"/>
      <c r="P20" s="17"/>
      <c r="Q20" s="17"/>
      <c r="R20" s="17"/>
      <c r="S20" s="17"/>
      <c r="T20" s="17"/>
      <c r="U20" s="17"/>
      <c r="V20" s="17"/>
      <c r="W20" s="22"/>
      <c r="X20" s="9">
        <f>400/(SQRT(3)*159.77)</f>
        <v>1.4454535123981367</v>
      </c>
    </row>
    <row r="21" spans="1:24" ht="18" x14ac:dyDescent="0.35">
      <c r="A21" s="20"/>
      <c r="B21" s="9"/>
      <c r="C21" s="8">
        <f t="shared" ref="C21:L21" si="28">C18/(SQRT(3)*0.38*C20)</f>
        <v>7.8926899410748561</v>
      </c>
      <c r="D21" s="8">
        <f t="shared" si="28"/>
        <v>18.991785170711374</v>
      </c>
      <c r="E21" s="8">
        <f t="shared" si="28"/>
        <v>9.3658118650083502</v>
      </c>
      <c r="F21" s="8">
        <f t="shared" si="28"/>
        <v>6.0773712546276402</v>
      </c>
      <c r="G21" s="8">
        <f t="shared" si="28"/>
        <v>9.9956764056375675</v>
      </c>
      <c r="H21" s="8">
        <f t="shared" si="28"/>
        <v>8.5463033268201194</v>
      </c>
      <c r="I21" s="8">
        <f t="shared" si="28"/>
        <v>11.117142538953001</v>
      </c>
      <c r="J21" s="8">
        <f t="shared" si="28"/>
        <v>8.1636330286042931</v>
      </c>
      <c r="K21" s="8">
        <f t="shared" si="28"/>
        <v>9.384176201998562</v>
      </c>
      <c r="L21" s="8">
        <f t="shared" si="28"/>
        <v>14.180532927464494</v>
      </c>
      <c r="M21" s="17"/>
      <c r="N21" s="20"/>
      <c r="O21" s="17"/>
      <c r="P21" s="17"/>
      <c r="Q21" s="17"/>
      <c r="R21" s="17"/>
      <c r="S21" s="17"/>
      <c r="T21" s="17"/>
      <c r="U21" s="17"/>
      <c r="V21" s="17"/>
      <c r="W21" s="10"/>
      <c r="X21" s="10"/>
    </row>
    <row r="22" spans="1:24" ht="18" x14ac:dyDescent="0.35">
      <c r="A22" s="21"/>
      <c r="B22" s="9"/>
      <c r="C22" s="8">
        <f t="shared" ref="C22:L22" si="29">C21/2.7</f>
        <v>2.9232184966943908</v>
      </c>
      <c r="D22" s="8">
        <f t="shared" si="29"/>
        <v>7.0339945076708785</v>
      </c>
      <c r="E22" s="8">
        <f t="shared" si="29"/>
        <v>3.4688192092623518</v>
      </c>
      <c r="F22" s="8">
        <f t="shared" si="29"/>
        <v>2.2508782424546814</v>
      </c>
      <c r="G22" s="8">
        <f t="shared" si="29"/>
        <v>3.7021023724583579</v>
      </c>
      <c r="H22" s="8">
        <f t="shared" si="29"/>
        <v>3.1652975284518958</v>
      </c>
      <c r="I22" s="8">
        <f t="shared" si="29"/>
        <v>4.1174601996122222</v>
      </c>
      <c r="J22" s="8">
        <f t="shared" si="29"/>
        <v>3.0235677883719601</v>
      </c>
      <c r="K22" s="8">
        <f t="shared" si="29"/>
        <v>3.4756208155550228</v>
      </c>
      <c r="L22" s="8">
        <f t="shared" si="29"/>
        <v>5.2520492323942563</v>
      </c>
      <c r="M22" s="18"/>
      <c r="N22" s="21"/>
      <c r="O22" s="18"/>
      <c r="P22" s="18"/>
      <c r="Q22" s="18"/>
      <c r="R22" s="18"/>
      <c r="S22" s="18"/>
      <c r="T22" s="18"/>
      <c r="U22" s="18"/>
      <c r="V22" s="18"/>
      <c r="W22" s="9"/>
      <c r="X22" s="9">
        <f>(X2*5100)/8760</f>
        <v>167.36572243666023</v>
      </c>
    </row>
    <row r="23" spans="1:24" ht="18" x14ac:dyDescent="0.35">
      <c r="A23" s="19">
        <v>5</v>
      </c>
      <c r="B23" s="9" t="s">
        <v>0</v>
      </c>
      <c r="C23" s="8">
        <v>7</v>
      </c>
      <c r="D23" s="8">
        <v>10</v>
      </c>
      <c r="E23" s="8">
        <v>2.8</v>
      </c>
      <c r="F23" s="8">
        <v>4.5</v>
      </c>
      <c r="G23" s="8">
        <v>6.3</v>
      </c>
      <c r="H23" s="8"/>
      <c r="I23" s="8"/>
      <c r="J23" s="8"/>
      <c r="K23" s="8"/>
      <c r="L23" s="8"/>
      <c r="M23" s="16">
        <f t="shared" ref="M23" si="30">(C23*C24+D23*D24+E23*E24+F23*F24+G23*G24+H23*H24+I23*I24+J23*J24)/(C23+D23+E23+F23+G23+H23+I23+J23)</f>
        <v>0.55205882352941171</v>
      </c>
      <c r="N23" s="19">
        <v>5</v>
      </c>
      <c r="O23" s="16">
        <f t="shared" ref="O23" si="31">M23+(1-M23)/SQRT(N23)</f>
        <v>0.75238420763130465</v>
      </c>
      <c r="P23" s="16">
        <f t="shared" ref="P23" si="32">C23+D23+E23+F23+G23+H23+I23+J23+K23+L23</f>
        <v>30.6</v>
      </c>
      <c r="Q23" s="16">
        <f t="shared" ref="Q23" si="33">O23*P23</f>
        <v>23.022956753517924</v>
      </c>
      <c r="R23" s="16">
        <f t="shared" ref="R23" si="34">(C23*C25+D23*D25+E23*E25+F23*F25+G23*G25+H23*H25+I23*I25+J23*J25+K23*K25+L23*L25)/P23</f>
        <v>0.7680065359477124</v>
      </c>
      <c r="S23" s="16">
        <f t="shared" ref="S23" si="35">SQRT(1-POWER(R23,2))/R23</f>
        <v>0.83390176283857753</v>
      </c>
      <c r="T23" s="16">
        <f t="shared" ref="T23" si="36">P23/R23</f>
        <v>39.843410918684313</v>
      </c>
      <c r="U23" s="16">
        <f t="shared" ref="U23" si="37">P23*S23</f>
        <v>25.517393942860473</v>
      </c>
      <c r="V23" s="16">
        <f>C26+D26+E26+F26+G26+H26+I26+J26+K26+L26</f>
        <v>60.747859690298228</v>
      </c>
      <c r="W23" s="9"/>
      <c r="X23" s="9">
        <f>X22/X2</f>
        <v>0.5821917808219178</v>
      </c>
    </row>
    <row r="24" spans="1:24" ht="18" x14ac:dyDescent="0.35">
      <c r="A24" s="20"/>
      <c r="B24" s="9"/>
      <c r="C24" s="8">
        <v>0.8</v>
      </c>
      <c r="D24" s="8">
        <v>0.43</v>
      </c>
      <c r="E24" s="8">
        <v>0.54</v>
      </c>
      <c r="F24" s="8">
        <v>0.56000000000000005</v>
      </c>
      <c r="G24" s="8">
        <v>0.47</v>
      </c>
      <c r="H24" s="8"/>
      <c r="I24" s="8"/>
      <c r="J24" s="8"/>
      <c r="K24" s="8"/>
      <c r="L24" s="8"/>
      <c r="M24" s="17"/>
      <c r="N24" s="20"/>
      <c r="O24" s="17"/>
      <c r="P24" s="17"/>
      <c r="Q24" s="17"/>
      <c r="R24" s="17"/>
      <c r="S24" s="17"/>
      <c r="T24" s="17"/>
      <c r="U24" s="17"/>
      <c r="V24" s="17"/>
      <c r="W24" s="28" t="s">
        <v>48</v>
      </c>
      <c r="X24" s="9">
        <v>180</v>
      </c>
    </row>
    <row r="25" spans="1:24" ht="18" x14ac:dyDescent="0.35">
      <c r="A25" s="20"/>
      <c r="B25" s="9" t="s">
        <v>1</v>
      </c>
      <c r="C25" s="8">
        <v>0.75</v>
      </c>
      <c r="D25" s="8">
        <v>0.74</v>
      </c>
      <c r="E25" s="8">
        <v>0.69</v>
      </c>
      <c r="F25" s="8">
        <v>0.82</v>
      </c>
      <c r="G25" s="8">
        <v>0.83</v>
      </c>
      <c r="H25" s="8"/>
      <c r="I25" s="8"/>
      <c r="J25" s="8"/>
      <c r="K25" s="8"/>
      <c r="L25" s="8"/>
      <c r="M25" s="17"/>
      <c r="N25" s="20"/>
      <c r="O25" s="17"/>
      <c r="P25" s="17"/>
      <c r="Q25" s="17"/>
      <c r="R25" s="17"/>
      <c r="S25" s="17"/>
      <c r="T25" s="17"/>
      <c r="U25" s="17"/>
      <c r="V25" s="17"/>
      <c r="W25" s="9"/>
      <c r="X25" s="9">
        <f>X2/X24</f>
        <v>1.5970846716178035</v>
      </c>
    </row>
    <row r="26" spans="1:24" ht="18" x14ac:dyDescent="0.35">
      <c r="A26" s="20"/>
      <c r="B26" s="9"/>
      <c r="C26" s="8">
        <f t="shared" ref="C26:G26" si="38">C23/(SQRT(3)*0.38*C25)</f>
        <v>14.180532927464494</v>
      </c>
      <c r="D26" s="8">
        <f t="shared" si="38"/>
        <v>20.531659644012297</v>
      </c>
      <c r="E26" s="8">
        <f t="shared" si="38"/>
        <v>6.1654490988976054</v>
      </c>
      <c r="F26" s="8">
        <f t="shared" si="38"/>
        <v>8.3378569042147497</v>
      </c>
      <c r="G26" s="8">
        <f t="shared" si="38"/>
        <v>11.532361115709076</v>
      </c>
      <c r="H26" s="8"/>
      <c r="I26" s="8"/>
      <c r="J26" s="8"/>
      <c r="K26" s="8"/>
      <c r="L26" s="8"/>
      <c r="M26" s="17"/>
      <c r="N26" s="20"/>
      <c r="O26" s="17"/>
      <c r="P26" s="17"/>
      <c r="Q26" s="17"/>
      <c r="R26" s="17"/>
      <c r="S26" s="17"/>
      <c r="T26" s="17"/>
      <c r="U26" s="17"/>
      <c r="V26" s="17"/>
      <c r="W26" s="10"/>
      <c r="X26" s="10"/>
    </row>
    <row r="27" spans="1:24" ht="18" x14ac:dyDescent="0.35">
      <c r="A27" s="21"/>
      <c r="B27" s="9"/>
      <c r="C27" s="8">
        <f t="shared" ref="C27:G27" si="39">C26/2.7</f>
        <v>5.2520492323942563</v>
      </c>
      <c r="D27" s="8">
        <f t="shared" si="39"/>
        <v>7.6043183866712205</v>
      </c>
      <c r="E27" s="8">
        <f t="shared" si="39"/>
        <v>2.2834996662583724</v>
      </c>
      <c r="F27" s="8">
        <f t="shared" si="39"/>
        <v>3.0880951497091664</v>
      </c>
      <c r="G27" s="8">
        <f t="shared" si="39"/>
        <v>4.2712448576700277</v>
      </c>
      <c r="H27" s="8"/>
      <c r="I27" s="8"/>
      <c r="J27" s="8"/>
      <c r="K27" s="8"/>
      <c r="L27" s="8"/>
      <c r="M27" s="18"/>
      <c r="N27" s="21"/>
      <c r="O27" s="18"/>
      <c r="P27" s="18"/>
      <c r="Q27" s="18"/>
      <c r="R27" s="18"/>
      <c r="S27" s="18"/>
      <c r="T27" s="18"/>
      <c r="U27" s="18"/>
      <c r="V27" s="18"/>
      <c r="W27" s="10"/>
      <c r="X27" s="10"/>
    </row>
    <row r="28" spans="1:24" ht="18" x14ac:dyDescent="0.35">
      <c r="A28" s="15">
        <v>6</v>
      </c>
      <c r="B28" s="9" t="s">
        <v>0</v>
      </c>
      <c r="C28" s="8">
        <v>4.5</v>
      </c>
      <c r="D28" s="8">
        <v>10</v>
      </c>
      <c r="E28" s="8">
        <v>7.5</v>
      </c>
      <c r="F28" s="8">
        <v>10</v>
      </c>
      <c r="G28" s="8">
        <v>2.8</v>
      </c>
      <c r="H28" s="8">
        <v>5</v>
      </c>
      <c r="I28" s="8">
        <v>7.5</v>
      </c>
      <c r="J28" s="8"/>
      <c r="K28" s="8"/>
      <c r="L28" s="8"/>
      <c r="M28" s="14">
        <f t="shared" ref="M28" si="40">(C28*C29+D28*D29+E28*E29+F28*F29+G28*G29+H28*H29+I28*I29+J28*J29)/(C28+D28+E28+F28+G28+H28+I28+J28)</f>
        <v>0.58828752642706139</v>
      </c>
      <c r="N28" s="15">
        <v>7</v>
      </c>
      <c r="O28" s="14">
        <f t="shared" ref="O28" si="41">M28+(1-M28)/SQRT(N28)</f>
        <v>0.74390021453238253</v>
      </c>
      <c r="P28" s="14">
        <f t="shared" ref="P28" si="42">C28+D28+E28+F28+G28+H28+I28+J28+K28+L28</f>
        <v>47.3</v>
      </c>
      <c r="Q28" s="14">
        <f t="shared" ref="Q28" si="43">O28*P28</f>
        <v>35.186480147381694</v>
      </c>
      <c r="R28" s="14">
        <f t="shared" ref="R28" si="44">(C28*C30+D28*D30+E28*E30+F28*F30+G28*G30+H28*H30+I28*I30+J28*J30+K28*K30+L28*L30)/P28</f>
        <v>0.72985200845665976</v>
      </c>
      <c r="S28" s="14">
        <f t="shared" ref="S28" si="45">SQRT(1-POWER(R28,2))/R28</f>
        <v>0.93663533803218346</v>
      </c>
      <c r="T28" s="14">
        <f t="shared" ref="T28" si="46">P28/R28</f>
        <v>64.807658884189777</v>
      </c>
      <c r="U28" s="14">
        <f t="shared" ref="U28" si="47">P28*S28</f>
        <v>44.302851488922272</v>
      </c>
      <c r="V28" s="14">
        <f>C31+D31+E31+F31+G31+H31+I31+J31+K31+L31</f>
        <v>99.265990465301741</v>
      </c>
      <c r="W28" s="10"/>
      <c r="X28" s="10"/>
    </row>
    <row r="29" spans="1:24" ht="18" x14ac:dyDescent="0.35">
      <c r="A29" s="15"/>
      <c r="B29" s="9"/>
      <c r="C29" s="8">
        <v>0.62</v>
      </c>
      <c r="D29" s="8">
        <v>0.46</v>
      </c>
      <c r="E29" s="8">
        <v>0.56000000000000005</v>
      </c>
      <c r="F29" s="8">
        <v>0.68</v>
      </c>
      <c r="G29" s="8">
        <v>0.87</v>
      </c>
      <c r="H29" s="8">
        <v>0.83</v>
      </c>
      <c r="I29" s="8">
        <v>0.38</v>
      </c>
      <c r="J29" s="8"/>
      <c r="K29" s="8"/>
      <c r="L29" s="8"/>
      <c r="M29" s="14"/>
      <c r="N29" s="15"/>
      <c r="O29" s="14"/>
      <c r="P29" s="14"/>
      <c r="Q29" s="14"/>
      <c r="R29" s="14"/>
      <c r="S29" s="14"/>
      <c r="T29" s="14"/>
      <c r="U29" s="14"/>
      <c r="V29" s="14"/>
      <c r="W29" s="10"/>
      <c r="X29" s="10"/>
    </row>
    <row r="30" spans="1:24" ht="18" x14ac:dyDescent="0.35">
      <c r="A30" s="15"/>
      <c r="B30" s="9" t="s">
        <v>1</v>
      </c>
      <c r="C30" s="8">
        <v>0.81</v>
      </c>
      <c r="D30" s="8">
        <v>0.68</v>
      </c>
      <c r="E30" s="8">
        <v>0.64</v>
      </c>
      <c r="F30" s="8">
        <v>0.79</v>
      </c>
      <c r="G30" s="8">
        <v>0.84</v>
      </c>
      <c r="H30" s="8">
        <v>0.77</v>
      </c>
      <c r="I30" s="8">
        <v>0.69</v>
      </c>
      <c r="J30" s="8"/>
      <c r="K30" s="8"/>
      <c r="L30" s="8"/>
      <c r="M30" s="14"/>
      <c r="N30" s="15"/>
      <c r="O30" s="14"/>
      <c r="P30" s="14"/>
      <c r="Q30" s="14"/>
      <c r="R30" s="14"/>
      <c r="S30" s="14"/>
      <c r="T30" s="14"/>
      <c r="U30" s="14"/>
      <c r="V30" s="14"/>
      <c r="W30" s="10"/>
      <c r="X30" s="10"/>
    </row>
    <row r="31" spans="1:24" ht="18" x14ac:dyDescent="0.35">
      <c r="A31" s="15"/>
      <c r="B31" s="9"/>
      <c r="C31" s="8">
        <f t="shared" ref="C31:I31" si="48">C28/(SQRT(3)*0.38*C30)</f>
        <v>8.4407934092050549</v>
      </c>
      <c r="D31" s="8">
        <f t="shared" si="48"/>
        <v>22.343276671425144</v>
      </c>
      <c r="E31" s="8">
        <f t="shared" si="48"/>
        <v>17.804798597541915</v>
      </c>
      <c r="F31" s="8">
        <f t="shared" si="48"/>
        <v>19.23218751464443</v>
      </c>
      <c r="G31" s="8">
        <f t="shared" si="48"/>
        <v>5.0644760455230333</v>
      </c>
      <c r="H31" s="8">
        <f t="shared" si="48"/>
        <v>9.8658624263435701</v>
      </c>
      <c r="I31" s="8">
        <f t="shared" si="48"/>
        <v>16.514595800618586</v>
      </c>
      <c r="J31" s="9"/>
      <c r="K31" s="9"/>
      <c r="L31" s="9"/>
      <c r="M31" s="14"/>
      <c r="N31" s="15"/>
      <c r="O31" s="14"/>
      <c r="P31" s="14"/>
      <c r="Q31" s="14"/>
      <c r="R31" s="14"/>
      <c r="S31" s="14"/>
      <c r="T31" s="14"/>
      <c r="U31" s="14"/>
      <c r="V31" s="14"/>
      <c r="W31" s="10"/>
      <c r="X31" s="10"/>
    </row>
    <row r="32" spans="1:24" ht="18" x14ac:dyDescent="0.35">
      <c r="A32" s="15"/>
      <c r="B32" s="9"/>
      <c r="C32" s="8">
        <f t="shared" ref="C32:I32" si="49">C31/2.7</f>
        <v>3.1262197811870571</v>
      </c>
      <c r="D32" s="8">
        <f t="shared" si="49"/>
        <v>8.2752876560833855</v>
      </c>
      <c r="E32" s="8">
        <f t="shared" si="49"/>
        <v>6.5943698509414492</v>
      </c>
      <c r="F32" s="8">
        <f t="shared" si="49"/>
        <v>7.1230324128312699</v>
      </c>
      <c r="G32" s="8">
        <f t="shared" si="49"/>
        <v>1.8757318687122344</v>
      </c>
      <c r="H32" s="8">
        <f t="shared" si="49"/>
        <v>3.6540231208679885</v>
      </c>
      <c r="I32" s="8">
        <f t="shared" si="49"/>
        <v>6.1165169631920691</v>
      </c>
      <c r="J32" s="9"/>
      <c r="K32" s="9"/>
      <c r="L32" s="9"/>
      <c r="M32" s="14"/>
      <c r="N32" s="15"/>
      <c r="O32" s="14"/>
      <c r="P32" s="14"/>
      <c r="Q32" s="14"/>
      <c r="R32" s="14"/>
      <c r="S32" s="14"/>
      <c r="T32" s="14"/>
      <c r="U32" s="14"/>
      <c r="V32" s="14"/>
      <c r="W32" s="10"/>
      <c r="X32" s="10"/>
    </row>
  </sheetData>
  <mergeCells count="79">
    <mergeCell ref="S28:S32"/>
    <mergeCell ref="T28:T32"/>
    <mergeCell ref="U28:U32"/>
    <mergeCell ref="V28:V32"/>
    <mergeCell ref="M23:M27"/>
    <mergeCell ref="N23:N27"/>
    <mergeCell ref="O23:O27"/>
    <mergeCell ref="P23:P27"/>
    <mergeCell ref="Q23:Q27"/>
    <mergeCell ref="R23:R27"/>
    <mergeCell ref="S23:S27"/>
    <mergeCell ref="T23:T27"/>
    <mergeCell ref="U23:U27"/>
    <mergeCell ref="V23:V27"/>
    <mergeCell ref="S18:S22"/>
    <mergeCell ref="T18:T22"/>
    <mergeCell ref="U18:U22"/>
    <mergeCell ref="V18:V22"/>
    <mergeCell ref="T13:T17"/>
    <mergeCell ref="U13:U17"/>
    <mergeCell ref="V13:V17"/>
    <mergeCell ref="O13:O17"/>
    <mergeCell ref="P13:P17"/>
    <mergeCell ref="Q13:Q17"/>
    <mergeCell ref="R13:R17"/>
    <mergeCell ref="S13:S17"/>
    <mergeCell ref="S8:S12"/>
    <mergeCell ref="T8:T12"/>
    <mergeCell ref="U8:U12"/>
    <mergeCell ref="V8:V12"/>
    <mergeCell ref="M3:M7"/>
    <mergeCell ref="N3:N7"/>
    <mergeCell ref="O3:O7"/>
    <mergeCell ref="P3:P7"/>
    <mergeCell ref="Q3:Q7"/>
    <mergeCell ref="R3:R7"/>
    <mergeCell ref="S3:S7"/>
    <mergeCell ref="O1:O2"/>
    <mergeCell ref="Q1:Q2"/>
    <mergeCell ref="S1:S2"/>
    <mergeCell ref="R1:R2"/>
    <mergeCell ref="P1:P2"/>
    <mergeCell ref="V1:V2"/>
    <mergeCell ref="U1:U2"/>
    <mergeCell ref="T1:T2"/>
    <mergeCell ref="T3:T7"/>
    <mergeCell ref="U3:U7"/>
    <mergeCell ref="V3:V7"/>
    <mergeCell ref="A1:A2"/>
    <mergeCell ref="B1:B2"/>
    <mergeCell ref="C1:L1"/>
    <mergeCell ref="P18:P22"/>
    <mergeCell ref="P28:P32"/>
    <mergeCell ref="M8:M12"/>
    <mergeCell ref="N8:N12"/>
    <mergeCell ref="O8:O12"/>
    <mergeCell ref="P8:P12"/>
    <mergeCell ref="N1:N2"/>
    <mergeCell ref="M1:M2"/>
    <mergeCell ref="M13:M17"/>
    <mergeCell ref="N13:N17"/>
    <mergeCell ref="M18:M22"/>
    <mergeCell ref="N18:N22"/>
    <mergeCell ref="A3:A7"/>
    <mergeCell ref="M28:M32"/>
    <mergeCell ref="N28:N32"/>
    <mergeCell ref="Q8:Q12"/>
    <mergeCell ref="R8:R12"/>
    <mergeCell ref="A28:A32"/>
    <mergeCell ref="A23:A27"/>
    <mergeCell ref="A18:A22"/>
    <mergeCell ref="A13:A17"/>
    <mergeCell ref="A8:A12"/>
    <mergeCell ref="O18:O22"/>
    <mergeCell ref="Q18:Q22"/>
    <mergeCell ref="R18:R22"/>
    <mergeCell ref="O28:O32"/>
    <mergeCell ref="Q28:Q32"/>
    <mergeCell ref="R28:R3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Electrical Equipment</vt:lpstr>
      <vt:lpstr>Electrical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 Tung Pham</dc:creator>
  <cp:lastModifiedBy>Viet Tung Pham</cp:lastModifiedBy>
  <dcterms:created xsi:type="dcterms:W3CDTF">2025-12-18T11:41:25Z</dcterms:created>
  <dcterms:modified xsi:type="dcterms:W3CDTF">2026-02-08T09:31:07Z</dcterms:modified>
</cp:coreProperties>
</file>